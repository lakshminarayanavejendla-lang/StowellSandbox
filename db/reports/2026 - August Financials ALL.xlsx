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owell\stowellco-angular_07_Sep_2026\stowellco-angular\db\reports\"/>
    </mc:Choice>
  </mc:AlternateContent>
  <xr:revisionPtr revIDLastSave="0" documentId="13_ncr:1_{DB298C79-9442-4FB9-ABED-52BF861D16FA}" xr6:coauthVersionLast="47" xr6:coauthVersionMax="47" xr10:uidLastSave="{00000000-0000-0000-0000-000000000000}"/>
  <bookViews>
    <workbookView xWindow="-108" yWindow="-108" windowWidth="23256" windowHeight="12456" tabRatio="683" firstSheet="2" activeTab="5" xr2:uid="{00000000-000D-0000-FFFF-FFFF00000000}"/>
  </bookViews>
  <sheets>
    <sheet name="FS Balance Sheet 2026" sheetId="16" r:id="rId1"/>
    <sheet name="FS Stmt of Inc &amp; RE- 2026" sheetId="13" r:id="rId2"/>
    <sheet name="August 2026 - Balance Sheet" sheetId="7" r:id="rId3"/>
    <sheet name="August 2026 - Inc. Stmt- ALL" sheetId="1" r:id="rId4"/>
    <sheet name="August 2026 - Over Under Report" sheetId="14" r:id="rId5"/>
    <sheet name="August 2026 -AR Aging" sheetId="17" r:id="rId6"/>
    <sheet name="Sheet1" sheetId="20" r:id="rId7"/>
    <sheet name="Sheet2" sheetId="21" r:id="rId8"/>
  </sheets>
  <definedNames>
    <definedName name="_xlnm.Print_Area" localSheetId="3">'August 2026 - Inc. Stmt- ALL'!$A$1:$J$146</definedName>
    <definedName name="_xlnm.Print_Area" localSheetId="4">'August 2026 - Over Under Report'!$A$1:$V$98</definedName>
    <definedName name="_xlnm.Print_Area" localSheetId="0">'FS Balance Sheet 2026'!$A$1:$E$56</definedName>
    <definedName name="_xlnm.Print_Titles" localSheetId="3">'August 2026 - Inc. Stmt- ALL'!$11:$13</definedName>
    <definedName name="_xlnm.Print_Titles" localSheetId="5">'August 2026 -AR Aging'!$A:$B,'August 2026 -AR Aging'!$8:$8</definedName>
    <definedName name="_xlnm.Print_Titles" localSheetId="1">'FS Stmt of Inc &amp; RE- 2026'!$10:$10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14" l="1"/>
  <c r="J77" i="14" s="1"/>
  <c r="N77" i="14" s="1"/>
  <c r="P77" i="14" s="1"/>
  <c r="N67" i="14"/>
  <c r="P67" i="14" s="1"/>
  <c r="J67" i="14"/>
  <c r="F67" i="14"/>
  <c r="F66" i="14"/>
  <c r="J66" i="14" s="1"/>
  <c r="N66" i="14" s="1"/>
  <c r="P66" i="14" s="1"/>
  <c r="F65" i="14"/>
  <c r="J65" i="14" s="1"/>
  <c r="N65" i="14" s="1"/>
  <c r="P65" i="14" s="1"/>
  <c r="E95" i="7"/>
  <c r="Q75" i="14"/>
  <c r="Q73" i="14"/>
  <c r="Q72" i="14"/>
  <c r="Q71" i="14"/>
  <c r="Q58" i="14"/>
  <c r="Q54" i="14"/>
  <c r="Q52" i="14"/>
  <c r="Q45" i="14"/>
  <c r="Q42" i="14"/>
  <c r="Q41" i="14"/>
  <c r="Q40" i="14"/>
  <c r="Q39" i="14"/>
  <c r="Q38" i="14"/>
  <c r="Q37" i="14"/>
  <c r="Q36" i="14"/>
  <c r="Q35" i="14"/>
  <c r="Q34" i="14"/>
  <c r="Q32" i="14"/>
  <c r="Q31" i="14"/>
  <c r="Q27" i="14"/>
  <c r="Q24" i="14"/>
  <c r="Q23" i="14"/>
  <c r="Q22" i="14"/>
  <c r="Q20" i="14"/>
  <c r="Q19" i="14"/>
  <c r="Q18" i="14"/>
  <c r="Q17" i="14"/>
  <c r="Q16" i="14"/>
  <c r="Q14" i="14"/>
  <c r="Q13" i="14"/>
  <c r="Q12" i="14"/>
  <c r="Q11" i="14"/>
  <c r="N116" i="1"/>
  <c r="N86" i="1"/>
  <c r="C24" i="20" l="1"/>
  <c r="G116" i="1" l="1"/>
  <c r="J76" i="14"/>
  <c r="N76" i="14"/>
  <c r="P76" i="14" s="1"/>
  <c r="F74" i="14"/>
  <c r="J74" i="14" s="1"/>
  <c r="N74" i="14" s="1"/>
  <c r="N64" i="14"/>
  <c r="P64" i="14" s="1"/>
  <c r="N63" i="14"/>
  <c r="P63" i="14" s="1"/>
  <c r="N62" i="14"/>
  <c r="P62" i="14" s="1"/>
  <c r="N61" i="14"/>
  <c r="P61" i="14" s="1"/>
  <c r="F62" i="14"/>
  <c r="F63" i="14"/>
  <c r="F64" i="14"/>
  <c r="F61" i="14"/>
  <c r="P68" i="14"/>
  <c r="N120" i="1"/>
  <c r="H139" i="1"/>
  <c r="G21" i="1"/>
  <c r="J68" i="14"/>
  <c r="F13" i="14"/>
  <c r="J13" i="14" s="1"/>
  <c r="F14" i="14"/>
  <c r="J14" i="14" s="1"/>
  <c r="F15" i="14"/>
  <c r="J15" i="14" s="1"/>
  <c r="F16" i="14"/>
  <c r="J16" i="14" s="1"/>
  <c r="F17" i="14"/>
  <c r="J17" i="14" s="1"/>
  <c r="F18" i="14"/>
  <c r="J18" i="14" s="1"/>
  <c r="N18" i="14" s="1"/>
  <c r="F19" i="14"/>
  <c r="J19" i="14" s="1"/>
  <c r="F20" i="14"/>
  <c r="J20" i="14" s="1"/>
  <c r="F21" i="14"/>
  <c r="J21" i="14" s="1"/>
  <c r="F22" i="14"/>
  <c r="J22" i="14" s="1"/>
  <c r="F23" i="14"/>
  <c r="J23" i="14" s="1"/>
  <c r="F24" i="14"/>
  <c r="J24" i="14" s="1"/>
  <c r="F25" i="14"/>
  <c r="J25" i="14" s="1"/>
  <c r="F26" i="14"/>
  <c r="J26" i="14" s="1"/>
  <c r="F27" i="14"/>
  <c r="J27" i="14" s="1"/>
  <c r="F28" i="14"/>
  <c r="J28" i="14" s="1"/>
  <c r="F29" i="14"/>
  <c r="J29" i="14" s="1"/>
  <c r="F30" i="14"/>
  <c r="J30" i="14" s="1"/>
  <c r="F31" i="14"/>
  <c r="J31" i="14" s="1"/>
  <c r="F32" i="14"/>
  <c r="J32" i="14" s="1"/>
  <c r="F33" i="14"/>
  <c r="J33" i="14" s="1"/>
  <c r="F34" i="14"/>
  <c r="J34" i="14" s="1"/>
  <c r="F35" i="14"/>
  <c r="J35" i="14" s="1"/>
  <c r="F36" i="14"/>
  <c r="J36" i="14" s="1"/>
  <c r="F37" i="14"/>
  <c r="J37" i="14" s="1"/>
  <c r="F38" i="14"/>
  <c r="J38" i="14" s="1"/>
  <c r="F39" i="14"/>
  <c r="J39" i="14" s="1"/>
  <c r="F40" i="14"/>
  <c r="J40" i="14" s="1"/>
  <c r="F41" i="14"/>
  <c r="J41" i="14" s="1"/>
  <c r="F42" i="14"/>
  <c r="J42" i="14" s="1"/>
  <c r="F43" i="14"/>
  <c r="J43" i="14" s="1"/>
  <c r="N43" i="14" s="1"/>
  <c r="F44" i="14"/>
  <c r="J44" i="14" s="1"/>
  <c r="F45" i="14"/>
  <c r="J45" i="14" s="1"/>
  <c r="F46" i="14"/>
  <c r="J46" i="14" s="1"/>
  <c r="F47" i="14"/>
  <c r="J47" i="14" s="1"/>
  <c r="F48" i="14"/>
  <c r="J48" i="14" s="1"/>
  <c r="F49" i="14"/>
  <c r="J49" i="14" s="1"/>
  <c r="F50" i="14"/>
  <c r="J50" i="14" s="1"/>
  <c r="F51" i="14"/>
  <c r="J51" i="14" s="1"/>
  <c r="F52" i="14"/>
  <c r="J52" i="14" s="1"/>
  <c r="F53" i="14"/>
  <c r="J53" i="14" s="1"/>
  <c r="F54" i="14"/>
  <c r="J54" i="14" s="1"/>
  <c r="F55" i="14"/>
  <c r="J55" i="14" s="1"/>
  <c r="F56" i="14"/>
  <c r="J56" i="14" s="1"/>
  <c r="F57" i="14"/>
  <c r="J57" i="14" s="1"/>
  <c r="F58" i="14"/>
  <c r="J58" i="14" s="1"/>
  <c r="F59" i="14"/>
  <c r="J59" i="14" s="1"/>
  <c r="F60" i="14"/>
  <c r="J60" i="14" s="1"/>
  <c r="F68" i="14"/>
  <c r="F69" i="14"/>
  <c r="J69" i="14" s="1"/>
  <c r="F70" i="14"/>
  <c r="J70" i="14" s="1"/>
  <c r="F71" i="14"/>
  <c r="J71" i="14" s="1"/>
  <c r="F72" i="14"/>
  <c r="J72" i="14" s="1"/>
  <c r="F73" i="14"/>
  <c r="J73" i="14" s="1"/>
  <c r="F75" i="14"/>
  <c r="J75" i="14" s="1"/>
  <c r="N75" i="14" s="1"/>
  <c r="P75" i="14" s="1"/>
  <c r="F76" i="14"/>
  <c r="F78" i="14"/>
  <c r="F79" i="14"/>
  <c r="F80" i="14"/>
  <c r="F81" i="14"/>
  <c r="F82" i="14"/>
  <c r="F83" i="14"/>
  <c r="F12" i="14"/>
  <c r="J12" i="14" s="1"/>
  <c r="N26" i="14" l="1"/>
  <c r="N27" i="14"/>
  <c r="N29" i="14"/>
  <c r="N30" i="14"/>
  <c r="N31" i="14"/>
  <c r="N32" i="14"/>
  <c r="N34" i="14"/>
  <c r="N35" i="14"/>
  <c r="N36" i="14"/>
  <c r="N37" i="14"/>
  <c r="N38" i="14"/>
  <c r="N39" i="14"/>
  <c r="N57" i="14"/>
  <c r="P57" i="14" s="1"/>
  <c r="N58" i="14"/>
  <c r="P58" i="14" s="1"/>
  <c r="N56" i="14"/>
  <c r="P56" i="14" s="1"/>
  <c r="N59" i="14"/>
  <c r="P59" i="14" s="1"/>
  <c r="N60" i="14"/>
  <c r="P60" i="14" s="1"/>
  <c r="N54" i="14" l="1"/>
  <c r="P54" i="14" s="1"/>
  <c r="N55" i="14"/>
  <c r="P55" i="14" s="1"/>
  <c r="N51" i="14" l="1"/>
  <c r="P51" i="14" s="1"/>
  <c r="N52" i="14"/>
  <c r="P52" i="14" s="1"/>
  <c r="N53" i="14"/>
  <c r="P53" i="14" s="1"/>
  <c r="E29" i="20"/>
  <c r="K116" i="1"/>
  <c r="K69" i="1"/>
  <c r="K17" i="1"/>
  <c r="N50" i="14" l="1"/>
  <c r="P50" i="14" s="1"/>
  <c r="N70" i="14"/>
  <c r="P70" i="14" s="1"/>
  <c r="N71" i="14"/>
  <c r="P71" i="14" s="1"/>
  <c r="N72" i="14"/>
  <c r="P72" i="14" s="1"/>
  <c r="N73" i="14"/>
  <c r="P73" i="14" s="1"/>
  <c r="N21" i="14"/>
  <c r="P21" i="14" s="1"/>
  <c r="N47" i="14"/>
  <c r="P47" i="14" s="1"/>
  <c r="P37" i="14"/>
  <c r="N41" i="14"/>
  <c r="N42" i="14"/>
  <c r="P42" i="14" s="1"/>
  <c r="P43" i="14"/>
  <c r="N44" i="14"/>
  <c r="P44" i="14" s="1"/>
  <c r="N45" i="14"/>
  <c r="P45" i="14" s="1"/>
  <c r="N46" i="14"/>
  <c r="P46" i="14" s="1"/>
  <c r="N48" i="14"/>
  <c r="P48" i="14" s="1"/>
  <c r="N40" i="14"/>
  <c r="P39" i="14" l="1"/>
  <c r="N69" i="14"/>
  <c r="P69" i="14" s="1"/>
  <c r="N49" i="14"/>
  <c r="P49" i="14" s="1"/>
  <c r="P38" i="14"/>
  <c r="P40" i="14"/>
  <c r="P41" i="14" l="1"/>
  <c r="N20" i="14" l="1"/>
  <c r="P20" i="14" s="1"/>
  <c r="F11" i="14"/>
  <c r="J11" i="14" s="1"/>
  <c r="P36" i="14" l="1"/>
  <c r="N25" i="14"/>
  <c r="N24" i="14"/>
  <c r="N23" i="14"/>
  <c r="N22" i="14"/>
  <c r="N19" i="14"/>
  <c r="N17" i="14"/>
  <c r="N16" i="14"/>
  <c r="N15" i="14"/>
  <c r="N14" i="14"/>
  <c r="N13" i="14"/>
  <c r="N12" i="14"/>
  <c r="N11" i="14"/>
  <c r="N85" i="14" l="1"/>
  <c r="B89" i="14"/>
  <c r="B90" i="14"/>
  <c r="B91" i="14" l="1"/>
  <c r="P27" i="14"/>
  <c r="P29" i="14"/>
  <c r="P34" i="14"/>
  <c r="P78" i="14"/>
  <c r="P79" i="14"/>
  <c r="P80" i="14"/>
  <c r="P81" i="14"/>
  <c r="P82" i="14"/>
  <c r="P83" i="14"/>
  <c r="C85" i="14" l="1"/>
  <c r="E85" i="14"/>
  <c r="H85" i="14"/>
  <c r="L85" i="14"/>
  <c r="P35" i="14"/>
  <c r="J85" i="14" l="1"/>
  <c r="P31" i="14" l="1"/>
  <c r="P30" i="14"/>
  <c r="D83" i="1" l="1"/>
  <c r="F83" i="1" s="1"/>
  <c r="H83" i="1" l="1"/>
  <c r="J83" i="1" s="1"/>
  <c r="P32" i="14"/>
  <c r="D57" i="1" l="1"/>
  <c r="F57" i="1" s="1"/>
  <c r="H57" i="1" l="1"/>
  <c r="J57" i="1" s="1"/>
  <c r="P25" i="14" l="1"/>
  <c r="P24" i="14" l="1"/>
  <c r="E51" i="16" l="1"/>
  <c r="P14" i="14" l="1"/>
  <c r="E10" i="16" l="1"/>
  <c r="P11" i="14"/>
  <c r="P15" i="14"/>
  <c r="P16" i="14"/>
  <c r="P19" i="14"/>
  <c r="P22" i="14"/>
  <c r="P18" i="14"/>
  <c r="P17" i="14"/>
  <c r="P23" i="14"/>
  <c r="P13" i="14"/>
  <c r="P12" i="14"/>
  <c r="D59" i="1" l="1"/>
  <c r="F59" i="1" s="1"/>
  <c r="D17" i="1"/>
  <c r="D35" i="1" s="1"/>
  <c r="H59" i="1" l="1"/>
  <c r="O125" i="1"/>
  <c r="B95" i="14" l="1"/>
  <c r="C90" i="14"/>
  <c r="C95" i="14"/>
  <c r="C96" i="14" s="1"/>
  <c r="C91" i="14"/>
  <c r="C89" i="14"/>
  <c r="B94" i="14"/>
  <c r="B96" i="14" l="1"/>
  <c r="E3" i="20" l="1"/>
  <c r="E26" i="20" l="1"/>
  <c r="E27" i="20" s="1"/>
  <c r="E32" i="20" l="1"/>
  <c r="E37" i="20" s="1"/>
  <c r="E30" i="20"/>
  <c r="E33" i="20" l="1"/>
  <c r="E38" i="20"/>
  <c r="J59" i="1" l="1"/>
  <c r="N98" i="1"/>
  <c r="N40" i="1"/>
  <c r="N100" i="1" l="1"/>
  <c r="N102" i="1"/>
  <c r="N118" i="1" s="1"/>
  <c r="E11" i="20"/>
  <c r="E8" i="20"/>
  <c r="E6" i="20"/>
  <c r="E4" i="20"/>
  <c r="N130" i="1" l="1"/>
  <c r="P130" i="1" s="1"/>
  <c r="E12" i="20"/>
  <c r="E9" i="20"/>
  <c r="E14" i="20"/>
  <c r="E15" i="20" l="1"/>
  <c r="N104" i="1" l="1"/>
  <c r="N42" i="1"/>
  <c r="D78" i="1" l="1"/>
  <c r="H78" i="1" l="1"/>
  <c r="F78" i="1"/>
  <c r="J78" i="1" l="1"/>
  <c r="E38" i="16" l="1"/>
  <c r="H32" i="1" l="1"/>
  <c r="H31" i="1"/>
  <c r="H30" i="1"/>
  <c r="H29" i="1"/>
  <c r="H28" i="1"/>
  <c r="H27" i="1"/>
  <c r="H26" i="1"/>
  <c r="H25" i="1"/>
  <c r="H19" i="1"/>
  <c r="H18" i="1"/>
  <c r="K40" i="1" l="1"/>
  <c r="K42" i="1" s="1"/>
  <c r="E40" i="16"/>
  <c r="K38" i="1" l="1"/>
  <c r="H35" i="1"/>
  <c r="H38" i="1" s="1"/>
  <c r="C86" i="1"/>
  <c r="C24" i="13" l="1"/>
  <c r="C25" i="13"/>
  <c r="E37" i="16"/>
  <c r="D52" i="1" l="1"/>
  <c r="H52" i="1" s="1"/>
  <c r="J52" i="1" s="1"/>
  <c r="F52" i="1" l="1"/>
  <c r="D94" i="1" l="1"/>
  <c r="H94" i="1" s="1"/>
  <c r="J94" i="1" s="1"/>
  <c r="D93" i="1"/>
  <c r="H93" i="1" s="1"/>
  <c r="J93" i="1" s="1"/>
  <c r="D92" i="1"/>
  <c r="H92" i="1" s="1"/>
  <c r="J92" i="1" s="1"/>
  <c r="D91" i="1"/>
  <c r="H91" i="1" s="1"/>
  <c r="J91" i="1" s="1"/>
  <c r="D90" i="1"/>
  <c r="H90" i="1" s="1"/>
  <c r="J90" i="1" s="1"/>
  <c r="D84" i="1"/>
  <c r="H84" i="1" s="1"/>
  <c r="J84" i="1" s="1"/>
  <c r="D82" i="1"/>
  <c r="H82" i="1" s="1"/>
  <c r="J82" i="1" s="1"/>
  <c r="D81" i="1"/>
  <c r="H81" i="1" s="1"/>
  <c r="J81" i="1" s="1"/>
  <c r="D80" i="1"/>
  <c r="H80" i="1" s="1"/>
  <c r="J80" i="1" s="1"/>
  <c r="D79" i="1"/>
  <c r="H79" i="1" s="1"/>
  <c r="J79" i="1" s="1"/>
  <c r="D77" i="1"/>
  <c r="H77" i="1" s="1"/>
  <c r="J77" i="1" s="1"/>
  <c r="D76" i="1"/>
  <c r="H76" i="1" s="1"/>
  <c r="J76" i="1" s="1"/>
  <c r="D75" i="1"/>
  <c r="H75" i="1" s="1"/>
  <c r="J75" i="1" s="1"/>
  <c r="D74" i="1"/>
  <c r="H74" i="1" s="1"/>
  <c r="J74" i="1" s="1"/>
  <c r="D73" i="1"/>
  <c r="H73" i="1" s="1"/>
  <c r="J73" i="1" s="1"/>
  <c r="D72" i="1"/>
  <c r="H72" i="1" s="1"/>
  <c r="J72" i="1" s="1"/>
  <c r="D71" i="1"/>
  <c r="H71" i="1" s="1"/>
  <c r="J71" i="1" s="1"/>
  <c r="D70" i="1"/>
  <c r="H70" i="1" s="1"/>
  <c r="J70" i="1" s="1"/>
  <c r="D69" i="1"/>
  <c r="H69" i="1" s="1"/>
  <c r="J69" i="1" s="1"/>
  <c r="D68" i="1"/>
  <c r="H68" i="1" s="1"/>
  <c r="J68" i="1" s="1"/>
  <c r="D67" i="1"/>
  <c r="H67" i="1" s="1"/>
  <c r="J67" i="1" s="1"/>
  <c r="D66" i="1"/>
  <c r="H66" i="1" s="1"/>
  <c r="J66" i="1" s="1"/>
  <c r="D65" i="1"/>
  <c r="H65" i="1" s="1"/>
  <c r="J65" i="1" s="1"/>
  <c r="D64" i="1"/>
  <c r="H64" i="1" s="1"/>
  <c r="J64" i="1" s="1"/>
  <c r="D63" i="1"/>
  <c r="H63" i="1" s="1"/>
  <c r="J63" i="1" s="1"/>
  <c r="D62" i="1"/>
  <c r="H62" i="1" s="1"/>
  <c r="J62" i="1" s="1"/>
  <c r="D61" i="1"/>
  <c r="H61" i="1" s="1"/>
  <c r="J61" i="1" s="1"/>
  <c r="D60" i="1"/>
  <c r="H60" i="1" s="1"/>
  <c r="J60" i="1" s="1"/>
  <c r="D58" i="1"/>
  <c r="H58" i="1" s="1"/>
  <c r="J58" i="1" s="1"/>
  <c r="D56" i="1"/>
  <c r="H56" i="1" s="1"/>
  <c r="J56" i="1" s="1"/>
  <c r="D55" i="1"/>
  <c r="H55" i="1" s="1"/>
  <c r="J55" i="1" s="1"/>
  <c r="D54" i="1"/>
  <c r="H54" i="1" s="1"/>
  <c r="J54" i="1" s="1"/>
  <c r="D53" i="1"/>
  <c r="H53" i="1" s="1"/>
  <c r="J53" i="1" s="1"/>
  <c r="D51" i="1"/>
  <c r="H51" i="1" s="1"/>
  <c r="J51" i="1" s="1"/>
  <c r="D50" i="1"/>
  <c r="H50" i="1" s="1"/>
  <c r="J50" i="1" s="1"/>
  <c r="D49" i="1"/>
  <c r="H49" i="1" s="1"/>
  <c r="J49" i="1" s="1"/>
  <c r="D48" i="1"/>
  <c r="H48" i="1" s="1"/>
  <c r="J48" i="1" s="1"/>
  <c r="D47" i="1"/>
  <c r="H47" i="1" s="1"/>
  <c r="J47" i="1" s="1"/>
  <c r="D46" i="1"/>
  <c r="H46" i="1" s="1"/>
  <c r="J46" i="1" s="1"/>
  <c r="H17" i="1"/>
  <c r="J17" i="1" s="1"/>
  <c r="K96" i="1"/>
  <c r="K86" i="1"/>
  <c r="K102" i="1" l="1"/>
  <c r="K118" i="1" s="1"/>
  <c r="K98" i="1"/>
  <c r="K100" i="1" l="1"/>
  <c r="C29" i="20"/>
  <c r="H102" i="1"/>
  <c r="K130" i="1"/>
  <c r="K134" i="1" s="1"/>
  <c r="K104" i="1"/>
  <c r="H116" i="1"/>
  <c r="D116" i="1"/>
  <c r="C116" i="1"/>
  <c r="E11" i="16" l="1"/>
  <c r="F84" i="1" l="1"/>
  <c r="F82" i="1"/>
  <c r="F81" i="1"/>
  <c r="F80" i="1"/>
  <c r="F79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8" i="1"/>
  <c r="F56" i="1"/>
  <c r="F55" i="1"/>
  <c r="F54" i="1"/>
  <c r="F53" i="1"/>
  <c r="F51" i="1"/>
  <c r="F50" i="1"/>
  <c r="F49" i="1"/>
  <c r="F48" i="1"/>
  <c r="F47" i="1"/>
  <c r="F40" i="13" l="1"/>
  <c r="E101" i="7" l="1"/>
  <c r="C35" i="13" s="1"/>
  <c r="E39" i="16" l="1"/>
  <c r="E12" i="16" l="1"/>
  <c r="E52" i="16" l="1"/>
  <c r="G86" i="1" l="1"/>
  <c r="O86" i="1" l="1"/>
  <c r="Q85" i="14"/>
  <c r="Q88" i="14" s="1"/>
  <c r="P85" i="14"/>
  <c r="E13" i="16" s="1"/>
  <c r="E41" i="16" l="1"/>
  <c r="F47" i="7" l="1"/>
  <c r="E23" i="16" l="1"/>
  <c r="E46" i="16" l="1"/>
  <c r="E28" i="16"/>
  <c r="E22" i="16"/>
  <c r="E21" i="16"/>
  <c r="E20" i="16"/>
  <c r="E9" i="16"/>
  <c r="E16" i="16" s="1"/>
  <c r="E25" i="16" l="1"/>
  <c r="E31" i="16" l="1"/>
  <c r="F93" i="1" l="1"/>
  <c r="F17" i="7" l="1"/>
  <c r="C12" i="13" l="1"/>
  <c r="C23" i="13"/>
  <c r="C33" i="13"/>
  <c r="C27" i="13" l="1"/>
  <c r="C29" i="13" l="1"/>
  <c r="E26" i="7" l="1"/>
  <c r="E35" i="7"/>
  <c r="F79" i="7"/>
  <c r="F49" i="7" l="1"/>
  <c r="F37" i="7"/>
  <c r="F17" i="1" l="1"/>
  <c r="F94" i="1"/>
  <c r="F92" i="1"/>
  <c r="F91" i="1"/>
  <c r="F90" i="1"/>
  <c r="F46" i="1"/>
  <c r="H96" i="1"/>
  <c r="G96" i="1"/>
  <c r="H86" i="1"/>
  <c r="G35" i="1"/>
  <c r="G40" i="1" s="1"/>
  <c r="H21" i="1"/>
  <c r="C4" i="20"/>
  <c r="G22" i="20" l="1"/>
  <c r="J35" i="1"/>
  <c r="O21" i="1"/>
  <c r="C18" i="13"/>
  <c r="O96" i="1"/>
  <c r="C6" i="20"/>
  <c r="G6" i="20" s="1"/>
  <c r="O35" i="1"/>
  <c r="I35" i="1"/>
  <c r="G38" i="1"/>
  <c r="C14" i="13"/>
  <c r="C16" i="13" s="1"/>
  <c r="I96" i="1"/>
  <c r="I21" i="1"/>
  <c r="F96" i="1"/>
  <c r="J96" i="1"/>
  <c r="I86" i="1"/>
  <c r="J21" i="1"/>
  <c r="F86" i="1"/>
  <c r="J86" i="1"/>
  <c r="H118" i="1"/>
  <c r="H98" i="1"/>
  <c r="G118" i="1"/>
  <c r="O118" i="1" s="1"/>
  <c r="G98" i="1"/>
  <c r="H120" i="1"/>
  <c r="G120" i="1"/>
  <c r="E103" i="7" s="1"/>
  <c r="H40" i="1"/>
  <c r="H42" i="1" s="1"/>
  <c r="G102" i="1"/>
  <c r="J102" i="1" l="1"/>
  <c r="J40" i="1"/>
  <c r="O120" i="1"/>
  <c r="G130" i="1"/>
  <c r="G24" i="20"/>
  <c r="O98" i="1"/>
  <c r="G4" i="20"/>
  <c r="G100" i="1"/>
  <c r="C11" i="20"/>
  <c r="G42" i="1"/>
  <c r="C8" i="20"/>
  <c r="O40" i="1"/>
  <c r="G104" i="1"/>
  <c r="O102" i="1"/>
  <c r="F105" i="7"/>
  <c r="F70" i="7"/>
  <c r="J98" i="1"/>
  <c r="F98" i="1"/>
  <c r="I98" i="1"/>
  <c r="D96" i="1"/>
  <c r="C96" i="1"/>
  <c r="D86" i="1"/>
  <c r="C35" i="1"/>
  <c r="D21" i="1"/>
  <c r="C21" i="1"/>
  <c r="F81" i="7" l="1"/>
  <c r="C26" i="20"/>
  <c r="C12" i="20"/>
  <c r="G11" i="20"/>
  <c r="G8" i="20"/>
  <c r="C14" i="20"/>
  <c r="C9" i="20"/>
  <c r="C38" i="1"/>
  <c r="E35" i="1"/>
  <c r="F107" i="7"/>
  <c r="F110" i="7" s="1"/>
  <c r="E96" i="1"/>
  <c r="E86" i="1"/>
  <c r="F35" i="1"/>
  <c r="F21" i="1"/>
  <c r="E21" i="1"/>
  <c r="C118" i="1"/>
  <c r="D120" i="1"/>
  <c r="C40" i="1"/>
  <c r="C42" i="1" s="1"/>
  <c r="C98" i="1"/>
  <c r="C102" i="1"/>
  <c r="C104" i="1" s="1"/>
  <c r="D98" i="1"/>
  <c r="D118" i="1"/>
  <c r="D40" i="1"/>
  <c r="D42" i="1" s="1"/>
  <c r="C120" i="1"/>
  <c r="C27" i="20" l="1"/>
  <c r="C35" i="20"/>
  <c r="C100" i="1"/>
  <c r="C32" i="20"/>
  <c r="G26" i="20"/>
  <c r="O130" i="1"/>
  <c r="H130" i="1"/>
  <c r="G14" i="20"/>
  <c r="C15" i="20"/>
  <c r="E53" i="16"/>
  <c r="C20" i="13"/>
  <c r="E98" i="1"/>
  <c r="C30" i="20" l="1"/>
  <c r="G29" i="20"/>
  <c r="G35" i="20"/>
  <c r="G32" i="20"/>
  <c r="C33" i="20"/>
  <c r="C31" i="13"/>
  <c r="G134" i="1"/>
  <c r="E44" i="16"/>
  <c r="E48" i="16" s="1"/>
  <c r="G144" i="1" l="1"/>
  <c r="C37" i="20"/>
  <c r="C38" i="13"/>
  <c r="E54" i="16"/>
  <c r="E56" i="16" s="1"/>
  <c r="E60" i="16" s="1"/>
  <c r="C38" i="20" l="1"/>
  <c r="G37" i="20"/>
  <c r="G1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Pam Harger</author>
    <author>PJH</author>
  </authors>
  <commentList>
    <comment ref="C13" authorId="0" shapeId="0" xr:uid="{C4E5E14E-3B00-4E9D-AB11-888704D10A52}">
      <text>
        <r>
          <rPr>
            <b/>
            <u/>
            <sz val="9"/>
            <color indexed="81"/>
            <rFont val="Tahoma"/>
            <family val="2"/>
          </rPr>
          <t>Total of:</t>
        </r>
        <r>
          <rPr>
            <b/>
            <sz val="9"/>
            <color indexed="81"/>
            <rFont val="Tahoma"/>
            <family val="2"/>
          </rPr>
          <t xml:space="preserve">
Underbillings 
+Total Retainage
- (Overbilled jobs-ret net) see OU Tab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0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Deduct Tax Liab (Inc. Stmt G-129) if it is a positive amount.
FOR DEC: MAKE ENTRY IN SAGE AND REMOVE FROM FORMULA ON HERE and Ret Earnings below is accurate! ON FS Stmt of Inc &amp; RE- make sure to remove tax liab from formula.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1" authorId="0" shapeId="0" xr:uid="{EC37CE84-6312-4A94-B7C8-6E76F600E38C}">
      <text>
        <r>
          <rPr>
            <b/>
            <sz val="9"/>
            <color indexed="81"/>
            <rFont val="Tahoma"/>
            <family val="2"/>
          </rPr>
          <t>Total of:
Overbillings
- (Ovebilled jobs-Ret net) see OU tab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Pam Harger</author>
  </authors>
  <commentList>
    <comment ref="C18" authorId="0" shapeId="0" xr:uid="{50517292-4D8A-4D4C-869F-D4FBAB24968F}">
      <text>
        <r>
          <rPr>
            <b/>
            <sz val="9"/>
            <color indexed="81"/>
            <rFont val="Tahoma"/>
            <family val="2"/>
          </rPr>
          <t>Make sure PB Exp is included at year end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A87C8FBF-9DB3-4067-9E2C-6368E55C2E03}">
      <text>
        <r>
          <rPr>
            <b/>
            <sz val="9"/>
            <color indexed="81"/>
            <rFont val="Tahoma"/>
            <family val="2"/>
          </rPr>
          <t>2017 YE RE: $3,684,187.85 less $1,787,328.13 for Stock Redemption balance afte PI cap.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0" shapeId="0" xr:uid="{535810F6-83F3-40BD-A66B-CBA6001CBC03}">
      <text>
        <r>
          <rPr>
            <b/>
            <sz val="9"/>
            <color indexed="81"/>
            <rFont val="Tahoma"/>
            <family val="2"/>
          </rPr>
          <t>For Dec financials, update BS to show G144 on the income stmt and remove it from here.</t>
        </r>
      </text>
    </comment>
    <comment ref="E35" authorId="0" shapeId="0" xr:uid="{2D45CC5C-7EEE-4BB7-A6A8-F9824EA79166}">
      <text>
        <r>
          <rPr>
            <b/>
            <sz val="9"/>
            <color indexed="81"/>
            <rFont val="Tahoma"/>
            <family val="2"/>
          </rPr>
          <t xml:space="preserve">Update formula at year end to Distributions and Tax Payable total.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Pam Harger</author>
  </authors>
  <commentList>
    <comment ref="G12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Enter PB paid to date, remove from exp acct above, make sure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<sst xmlns="http://schemas.openxmlformats.org/spreadsheetml/2006/main" count="849" uniqueCount="598">
  <si>
    <t>Period</t>
  </si>
  <si>
    <t>Budget</t>
  </si>
  <si>
    <t>Operating Income</t>
  </si>
  <si>
    <t>Contract Income</t>
  </si>
  <si>
    <t>Over/Underbillings</t>
  </si>
  <si>
    <t>Discounts Earned</t>
  </si>
  <si>
    <t>Total Operating Income:</t>
  </si>
  <si>
    <t>Direct Expense</t>
  </si>
  <si>
    <t>Material</t>
  </si>
  <si>
    <t>Equipment Expense</t>
  </si>
  <si>
    <t>Subcontracted</t>
  </si>
  <si>
    <t>Other Job Expense</t>
  </si>
  <si>
    <t>Direct Labor</t>
  </si>
  <si>
    <t>Total Direct Expense:</t>
  </si>
  <si>
    <t>Total Direct &amp; Equip/Shop Expense:</t>
  </si>
  <si>
    <t>Gross Profit:</t>
  </si>
  <si>
    <t>Overhead Expense</t>
  </si>
  <si>
    <t>Interest Expense</t>
  </si>
  <si>
    <t>Total Overhead Expense:</t>
  </si>
  <si>
    <t>Admin Salaries</t>
  </si>
  <si>
    <t>Admin Payroll Taxes</t>
  </si>
  <si>
    <t>Admin Worker's Compensation</t>
  </si>
  <si>
    <t>Admin Benefits</t>
  </si>
  <si>
    <t>Total Administrative Expense:</t>
  </si>
  <si>
    <t>Total Indirect Expense:</t>
  </si>
  <si>
    <t>Income from Operations:</t>
  </si>
  <si>
    <t>Other Income</t>
  </si>
  <si>
    <t>Interest Income</t>
  </si>
  <si>
    <t>Total Other Income:</t>
  </si>
  <si>
    <t>Net Income Before Tax:</t>
  </si>
  <si>
    <t>Net Income:</t>
  </si>
  <si>
    <t>Over/Under</t>
  </si>
  <si>
    <t>YTD</t>
  </si>
  <si>
    <t>Bonus Program</t>
  </si>
  <si>
    <t>Employee</t>
  </si>
  <si>
    <t>Insurance</t>
  </si>
  <si>
    <t>Performance Bonus Payable</t>
  </si>
  <si>
    <t>Net Inc. after Bonus Program</t>
  </si>
  <si>
    <t>Net Inc. after Bonus, Tax Liab</t>
  </si>
  <si>
    <t>Budget - Period</t>
  </si>
  <si>
    <t>Budget % - Period</t>
  </si>
  <si>
    <t>Budget % - YTD</t>
  </si>
  <si>
    <t>Income Statement - All Departments</t>
  </si>
  <si>
    <t>Balance Sheet</t>
  </si>
  <si>
    <t>Assets</t>
  </si>
  <si>
    <t>Current Assets</t>
  </si>
  <si>
    <t>Total Current Assets:</t>
  </si>
  <si>
    <t>Long Term Assets</t>
  </si>
  <si>
    <t>Total Long Term Assets:</t>
  </si>
  <si>
    <t>Accumulated Depreciation</t>
  </si>
  <si>
    <t>Total Accumulated Depreciation:</t>
  </si>
  <si>
    <t>Net Long Term Assets:</t>
  </si>
  <si>
    <t>Other Assets</t>
  </si>
  <si>
    <t>Total Other Assets:</t>
  </si>
  <si>
    <t>Total Assets:</t>
  </si>
  <si>
    <t>Liabilities</t>
  </si>
  <si>
    <t>Current Liabilities</t>
  </si>
  <si>
    <t>Total Current Liabilities:</t>
  </si>
  <si>
    <t>Long Term Liabilities</t>
  </si>
  <si>
    <t>Total Long Term Liabilities:</t>
  </si>
  <si>
    <t>Total Liabilities:</t>
  </si>
  <si>
    <t>Equity</t>
  </si>
  <si>
    <t>Equity/Capital</t>
  </si>
  <si>
    <t>Subtotal Equity/Capital:</t>
  </si>
  <si>
    <t>Owner's Drawing/Dividend</t>
  </si>
  <si>
    <t>Total Owner's Drawing/Dividend:</t>
  </si>
  <si>
    <t>Current Profit (Loss):</t>
  </si>
  <si>
    <t>Total Equity/Capital:</t>
  </si>
  <si>
    <t>Total Liabilities + Equity:</t>
  </si>
  <si>
    <t>% Overhead Expense</t>
  </si>
  <si>
    <t>% Operating Income</t>
  </si>
  <si>
    <t>% Operating Income:</t>
  </si>
  <si>
    <t xml:space="preserve"> </t>
  </si>
  <si>
    <t>% Net Income after Ext. Exp and Bonus Program</t>
  </si>
  <si>
    <t>Job#</t>
  </si>
  <si>
    <t>Costs</t>
  </si>
  <si>
    <t>/</t>
  </si>
  <si>
    <t>=    %</t>
  </si>
  <si>
    <t>X</t>
  </si>
  <si>
    <t>Contract</t>
  </si>
  <si>
    <t>=</t>
  </si>
  <si>
    <t>Earned</t>
  </si>
  <si>
    <t>-</t>
  </si>
  <si>
    <t>Billed</t>
  </si>
  <si>
    <t>FL Total:</t>
  </si>
  <si>
    <t>Invoice#</t>
  </si>
  <si>
    <t>Due Date</t>
  </si>
  <si>
    <t>Current</t>
  </si>
  <si>
    <t>1 - 30</t>
  </si>
  <si>
    <t>31 - 60</t>
  </si>
  <si>
    <t>61 - 90</t>
  </si>
  <si>
    <t>Job Totals:</t>
  </si>
  <si>
    <t>Grand Totals:</t>
  </si>
  <si>
    <t>Job</t>
  </si>
  <si>
    <t>Balance</t>
  </si>
  <si>
    <t>Retained</t>
  </si>
  <si>
    <t>91+</t>
  </si>
  <si>
    <t>Total Due</t>
  </si>
  <si>
    <t>Cash and Cash Equivalents</t>
  </si>
  <si>
    <t>Contract Receivables</t>
  </si>
  <si>
    <t>Property and Equipment</t>
  </si>
  <si>
    <t>Less Accumulated Depreciation</t>
  </si>
  <si>
    <t>Vehicles</t>
  </si>
  <si>
    <t>Office Equipment</t>
  </si>
  <si>
    <t>Furniture and Fixtures</t>
  </si>
  <si>
    <t>Prepaid Expenses and Other Current Assets</t>
  </si>
  <si>
    <t>Software Costs, net of Accumulated Amortization</t>
  </si>
  <si>
    <t>Notes Payable</t>
  </si>
  <si>
    <t>Distributions Payable</t>
  </si>
  <si>
    <t>Accounts Payable</t>
  </si>
  <si>
    <t>Accrued Liabilities</t>
  </si>
  <si>
    <t>Total Current Liabilities</t>
  </si>
  <si>
    <t>Notes Payable to Stockholders</t>
  </si>
  <si>
    <t>Total Liabilities</t>
  </si>
  <si>
    <t>Stockholder's Equity</t>
  </si>
  <si>
    <t>Common Stock</t>
  </si>
  <si>
    <t>Additional Paid-in Capital</t>
  </si>
  <si>
    <t>Retained Earnings</t>
  </si>
  <si>
    <t>Total Stockholder's Equity</t>
  </si>
  <si>
    <t>Total Property and Equipment</t>
  </si>
  <si>
    <t>Total Liabilities and Equity:</t>
  </si>
  <si>
    <t>Contract Revenues</t>
  </si>
  <si>
    <t>Costs of Contract Revenues</t>
  </si>
  <si>
    <t>Gross Profit</t>
  </si>
  <si>
    <t>Operating Expenses</t>
  </si>
  <si>
    <t>Income before Other Income (Expense)</t>
  </si>
  <si>
    <t>Other Income (Expense)</t>
  </si>
  <si>
    <t>Miscellaneous Income</t>
  </si>
  <si>
    <t>Retained Earnings at Beginning of Year</t>
  </si>
  <si>
    <t>Less Distributions</t>
  </si>
  <si>
    <t xml:space="preserve">      Total Other Income (Expense)</t>
  </si>
  <si>
    <t>Retained Earnings at End of Year (Period)</t>
  </si>
  <si>
    <t>Budget  - YTD</t>
  </si>
  <si>
    <t>Payroll Advances</t>
  </si>
  <si>
    <t>Software</t>
  </si>
  <si>
    <t>Accum Dep'n Vehicles</t>
  </si>
  <si>
    <t>Accum Dep'n Office Equipment</t>
  </si>
  <si>
    <t>Accum Amort Software</t>
  </si>
  <si>
    <t>Accum Dep'n Furniture &amp; Fxt</t>
  </si>
  <si>
    <t>Shareholder Pay - Shumaker</t>
  </si>
  <si>
    <t>S/H Notes Payable-WS</t>
  </si>
  <si>
    <t>Capital Stock - Shumaker</t>
  </si>
  <si>
    <t>Shareholder Distributions</t>
  </si>
  <si>
    <t>Performance Bonus Paid</t>
  </si>
  <si>
    <t>Tax Liability on Net Income</t>
  </si>
  <si>
    <t>Underbillings</t>
  </si>
  <si>
    <t>Admin Liability Insurance</t>
  </si>
  <si>
    <t>D/L Benefits</t>
  </si>
  <si>
    <t>ADJUSTMENT TO NET</t>
  </si>
  <si>
    <t xml:space="preserve">CONTRACT ASSET AND </t>
  </si>
  <si>
    <t>CONTRACT LIABILITY</t>
  </si>
  <si>
    <t>Retainage from</t>
  </si>
  <si>
    <t>AR Aging</t>
  </si>
  <si>
    <t>NEW CONTRACT ASSET/LIABILITY ENTRY</t>
  </si>
  <si>
    <t>Contract Assets*</t>
  </si>
  <si>
    <t>Contract Liabilities*</t>
  </si>
  <si>
    <t>D.Stowell Stock Redemption 1.1.18</t>
  </si>
  <si>
    <t>Other Receivables</t>
  </si>
  <si>
    <t>Gain on Sale or Assets</t>
  </si>
  <si>
    <t>Other Notes Payable</t>
  </si>
  <si>
    <t>Capital Stock - Bishop</t>
  </si>
  <si>
    <t>Capital Stock - Cassell</t>
  </si>
  <si>
    <t>Capital Stock - VanHouten</t>
  </si>
  <si>
    <t>Interest Pay</t>
  </si>
  <si>
    <t xml:space="preserve"> Rent </t>
  </si>
  <si>
    <t xml:space="preserve"> Office Supplies </t>
  </si>
  <si>
    <t xml:space="preserve"> Office Expense </t>
  </si>
  <si>
    <t xml:space="preserve"> Utilities </t>
  </si>
  <si>
    <t xml:space="preserve"> Telephone </t>
  </si>
  <si>
    <t xml:space="preserve"> Cellular Phone </t>
  </si>
  <si>
    <t xml:space="preserve"> IT Services </t>
  </si>
  <si>
    <t xml:space="preserve"> Internet Service </t>
  </si>
  <si>
    <t xml:space="preserve"> Bank Charges </t>
  </si>
  <si>
    <t xml:space="preserve"> Postage and Freight </t>
  </si>
  <si>
    <t xml:space="preserve"> Janitorial </t>
  </si>
  <si>
    <t xml:space="preserve"> Accounting Fees </t>
  </si>
  <si>
    <t xml:space="preserve"> Legal Fees </t>
  </si>
  <si>
    <t xml:space="preserve"> Consulting Fees </t>
  </si>
  <si>
    <t xml:space="preserve"> Estimating Fees </t>
  </si>
  <si>
    <t xml:space="preserve"> Travel, Meals, Entertainment </t>
  </si>
  <si>
    <t xml:space="preserve"> Software License Fees </t>
  </si>
  <si>
    <t xml:space="preserve"> Dues and Subscriptions </t>
  </si>
  <si>
    <t xml:space="preserve"> Continuing Education </t>
  </si>
  <si>
    <t xml:space="preserve"> Safety Program Exp. </t>
  </si>
  <si>
    <t xml:space="preserve"> Charity Donations </t>
  </si>
  <si>
    <t xml:space="preserve"> Taxes and Licenses </t>
  </si>
  <si>
    <t xml:space="preserve"> Interest Expense </t>
  </si>
  <si>
    <t xml:space="preserve"> Plan Fees </t>
  </si>
  <si>
    <t xml:space="preserve"> Bonding Fees </t>
  </si>
  <si>
    <t xml:space="preserve"> Overhead Labor </t>
  </si>
  <si>
    <t xml:space="preserve"> FL O/H Payroll Taxes </t>
  </si>
  <si>
    <t xml:space="preserve"> FL O/H Workers' Compensation </t>
  </si>
  <si>
    <t xml:space="preserve"> O/H Benefits </t>
  </si>
  <si>
    <t xml:space="preserve"> Other Vehicle Expense </t>
  </si>
  <si>
    <t xml:space="preserve"> Vehicle Depreciation Expense </t>
  </si>
  <si>
    <t xml:space="preserve"> Office Equipment Dep'n Expense </t>
  </si>
  <si>
    <t xml:space="preserve"> Furniture &amp; Fixtures Dep'n Exp </t>
  </si>
  <si>
    <t xml:space="preserve"> Marketing Expense </t>
  </si>
  <si>
    <t xml:space="preserve"> Prepaid Insurance - 2019 </t>
  </si>
  <si>
    <t xml:space="preserve"> Prepaid Ins.- Sub. Acct. 2013 </t>
  </si>
  <si>
    <t xml:space="preserve"> Life Insurance - Employee </t>
  </si>
  <si>
    <t xml:space="preserve"> Term Life Ins. - Employee </t>
  </si>
  <si>
    <t xml:space="preserve"> Prepaid Expenses </t>
  </si>
  <si>
    <t xml:space="preserve"> Trade Accounts Payable </t>
  </si>
  <si>
    <t xml:space="preserve"> Other Accounts Payable </t>
  </si>
  <si>
    <t xml:space="preserve"> Distributions Payable - SH </t>
  </si>
  <si>
    <t xml:space="preserve"> Overbillings </t>
  </si>
  <si>
    <t xml:space="preserve"> Fica/FIT Payable </t>
  </si>
  <si>
    <t xml:space="preserve"> TX SUI Payable </t>
  </si>
  <si>
    <t>State Income Tax</t>
  </si>
  <si>
    <t xml:space="preserve"> *Budget is actual costs when costs exceed budget. </t>
  </si>
  <si>
    <t>Totals:</t>
  </si>
  <si>
    <t>Accrued Expense</t>
  </si>
  <si>
    <t>Rebate Income</t>
  </si>
  <si>
    <t>YTD Months</t>
  </si>
  <si>
    <t xml:space="preserve"> General Insurance /Life</t>
  </si>
  <si>
    <t>Truist LOC</t>
  </si>
  <si>
    <t>401K Match</t>
  </si>
  <si>
    <t>Prior Year</t>
  </si>
  <si>
    <t>Var</t>
  </si>
  <si>
    <t>Stowell Prior Year Comparison</t>
  </si>
  <si>
    <t>Revenue</t>
  </si>
  <si>
    <t>Total Indirect Expenses</t>
  </si>
  <si>
    <t>Income from Operations</t>
  </si>
  <si>
    <t>% of Operating Income</t>
  </si>
  <si>
    <t>Gross Profit %</t>
  </si>
  <si>
    <t>Other Closed Projects</t>
  </si>
  <si>
    <t>D/L Payroll Taxes</t>
  </si>
  <si>
    <t>D/L Workers' Compensation</t>
  </si>
  <si>
    <t>401K Payable</t>
  </si>
  <si>
    <t xml:space="preserve"> Payroll Fees</t>
  </si>
  <si>
    <t>10120  10120 - Waller Creek</t>
  </si>
  <si>
    <t>Truist Checking/JP Morgan Money Market</t>
  </si>
  <si>
    <t>Projected Revenue</t>
  </si>
  <si>
    <t>Est Bonus Payout</t>
  </si>
  <si>
    <t>Net Income from operations</t>
  </si>
  <si>
    <t>10142  10142 - Jacksonville Shipyards</t>
  </si>
  <si>
    <t xml:space="preserve"> Sales Taxes Payable </t>
  </si>
  <si>
    <t>10123  10123 - 400 Central</t>
  </si>
  <si>
    <t>10128  1000 First Avenue Apartments</t>
  </si>
  <si>
    <t>10130  10130 - Art House Condominiums</t>
  </si>
  <si>
    <t>Statement of Income and Retained Earnings</t>
  </si>
  <si>
    <t>10141  10141 Encore</t>
  </si>
  <si>
    <t>10143  10143 MetWest</t>
  </si>
  <si>
    <t>Total 2025 Tax Liability- as Distributions</t>
  </si>
  <si>
    <t>10135  10135 - 3rd &amp; 3rd</t>
  </si>
  <si>
    <t>Capital Stock - Flynn</t>
  </si>
  <si>
    <t>10152  10152 - Westin Cocoa Beach</t>
  </si>
  <si>
    <t>10120 - 10120 - Waller Creek</t>
  </si>
  <si>
    <t>10123 - 10123 - 400 Central*</t>
  </si>
  <si>
    <t>10128 - 1000 First Avenue Apartments</t>
  </si>
  <si>
    <t>10130 - 10130 - Art House Condominiums</t>
  </si>
  <si>
    <t>10132 - 10132 - Fairfield Ave</t>
  </si>
  <si>
    <t>10135 - 10135 - 3rd &amp; 3rd</t>
  </si>
  <si>
    <t>10141 - 10141 Encore</t>
  </si>
  <si>
    <t>10143 - 10143 MetWest</t>
  </si>
  <si>
    <t>10152 - 10152 - Westin Cocoa Beach*</t>
  </si>
  <si>
    <t>10156 - 10156 - Encore NTMC</t>
  </si>
  <si>
    <t>10158 - 10158 - Stephens Residence</t>
  </si>
  <si>
    <t>10159 - 10159- Roberts Residence</t>
  </si>
  <si>
    <t>10163 - Building C Retail Center</t>
  </si>
  <si>
    <t>10165 - Ravaudage Parking #1</t>
  </si>
  <si>
    <t>10166 - Stratfford Artisan Lakes</t>
  </si>
  <si>
    <t xml:space="preserve"> Advertising and Promotion</t>
  </si>
  <si>
    <t>10167 - 10167 - Ritz Residences North Tower</t>
  </si>
  <si>
    <t>10170 - 10170 - Miami Freedom Park</t>
  </si>
  <si>
    <t xml:space="preserve"> Software Amort Exp </t>
  </si>
  <si>
    <t>10175 - 10175 -Totum Market</t>
  </si>
  <si>
    <t>10142 - 10142 - Jacksonville Shipyards</t>
  </si>
  <si>
    <t>10173 - 10173 - Retail Center B</t>
  </si>
  <si>
    <t>10174 - 10174 - Retail Center D</t>
  </si>
  <si>
    <t>10147 - 10147 Jordan House</t>
  </si>
  <si>
    <t xml:space="preserve"> 20041 - LM Electrical Substation* </t>
  </si>
  <si>
    <t>Fl WC Payable</t>
  </si>
  <si>
    <t>2025 Dividend Pyment</t>
  </si>
  <si>
    <t>2026 BUDGET</t>
  </si>
  <si>
    <t xml:space="preserve"> 10148 - 10148-Hilton Repairs Conrad* </t>
  </si>
  <si>
    <t xml:space="preserve"> 10176 - 10176 -The Avery* </t>
  </si>
  <si>
    <t xml:space="preserve"> 10178 - 10178 - Retail A* </t>
  </si>
  <si>
    <t xml:space="preserve"> 10179 - 10179 - Retail E </t>
  </si>
  <si>
    <t xml:space="preserve"> 10180 - 10180 - Retail F* </t>
  </si>
  <si>
    <t xml:space="preserve"> 10181 - 10181 - PCL Civil Office </t>
  </si>
  <si>
    <t xml:space="preserve"> 10182 - Disney Beach Club Ext Rehab </t>
  </si>
  <si>
    <t xml:space="preserve"> 10184 - Project LB Disney* </t>
  </si>
  <si>
    <t xml:space="preserve"> 10185 - 10185 - FSJ Members Club </t>
  </si>
  <si>
    <t xml:space="preserve"> 10186 - Straticon - 4 Seasons Custom* </t>
  </si>
  <si>
    <t xml:space="preserve"> 10187 - 10187 - Ritz Misc Work* </t>
  </si>
  <si>
    <t xml:space="preserve"> 10188 - Law School Villiage </t>
  </si>
  <si>
    <t xml:space="preserve"> 10189 - 10189- Straticon Misc Work* </t>
  </si>
  <si>
    <t xml:space="preserve"> 10190 - 10190 - Bluffs Apartments </t>
  </si>
  <si>
    <t xml:space="preserve"> 20022 - 20022 - Hang 10* </t>
  </si>
  <si>
    <t xml:space="preserve"> 20034 - Hang 10 - Curry Ford Rd* </t>
  </si>
  <si>
    <t xml:space="preserve"> 20035 - 20035 - HPCC PH 2 - NEW 20005* </t>
  </si>
  <si>
    <t xml:space="preserve"> 20042 - 20042 - City National Bank of Florida* </t>
  </si>
  <si>
    <t>2026 Q-1 Distributions</t>
  </si>
  <si>
    <t>2026 Q-2 Distributions</t>
  </si>
  <si>
    <t>2026 Q-3 Distributions</t>
  </si>
  <si>
    <t>2026 Q-4 Distributions</t>
  </si>
  <si>
    <t>Proj 2026</t>
  </si>
  <si>
    <t>Projected 2026 vs 2025</t>
  </si>
  <si>
    <t>2025 Act</t>
  </si>
  <si>
    <t xml:space="preserve"> 10191 - 10191 - Macon </t>
  </si>
  <si>
    <t xml:space="preserve"> 10192 - 10192 - Druid Rd* </t>
  </si>
  <si>
    <t xml:space="preserve"> 10193 - 10193 - Retail G </t>
  </si>
  <si>
    <t xml:space="preserve"> 10194 - 10194 - Vehicle Fortress PH II </t>
  </si>
  <si>
    <t>Credit Cards</t>
  </si>
  <si>
    <t xml:space="preserve"> 20044 - 20044 - HCA </t>
  </si>
  <si>
    <t>10195 - 10195 - Level 7 Encore</t>
  </si>
  <si>
    <t>10196 - 10196 - TGH USF</t>
  </si>
  <si>
    <t>10197 - 10197 - Osceola PD</t>
  </si>
  <si>
    <t>10198 - 10198 - Encore Carpentry</t>
  </si>
  <si>
    <t>10199 - 10199 - Recurring Capital</t>
  </si>
  <si>
    <t>10200 - 10200 - 275 5th St</t>
  </si>
  <si>
    <t>10201 - 10201 -Beach Club PH 2</t>
  </si>
  <si>
    <t>10162 - 10162-Edition Hotel</t>
  </si>
  <si>
    <t>Dr</t>
  </si>
  <si>
    <t>Est based on Bill's CPA estimated tax payments</t>
  </si>
  <si>
    <t>10120.01 October</t>
  </si>
  <si>
    <t>10120.02 November</t>
  </si>
  <si>
    <t>10120 December</t>
  </si>
  <si>
    <t>10120 January</t>
  </si>
  <si>
    <t>10120 February</t>
  </si>
  <si>
    <t>10120 March</t>
  </si>
  <si>
    <t>10120 April</t>
  </si>
  <si>
    <t>10120 May</t>
  </si>
  <si>
    <t>10120 June</t>
  </si>
  <si>
    <t>10120 July</t>
  </si>
  <si>
    <t>10120 August</t>
  </si>
  <si>
    <t>09/17/2025</t>
  </si>
  <si>
    <t>10120 September</t>
  </si>
  <si>
    <t>10/17/2025</t>
  </si>
  <si>
    <t>10120 October</t>
  </si>
  <si>
    <t>10120 November</t>
  </si>
  <si>
    <t>10120 Dec</t>
  </si>
  <si>
    <t>10120</t>
  </si>
  <si>
    <t>06/30/2026</t>
  </si>
  <si>
    <t>10123 June</t>
  </si>
  <si>
    <t>10128 April</t>
  </si>
  <si>
    <t>01/31/2026</t>
  </si>
  <si>
    <t>10128 May</t>
  </si>
  <si>
    <t>10128 July</t>
  </si>
  <si>
    <t>10128 August Rev1</t>
  </si>
  <si>
    <t>10128 September</t>
  </si>
  <si>
    <t>10128</t>
  </si>
  <si>
    <t>10128 November</t>
  </si>
  <si>
    <t>10128 Dec</t>
  </si>
  <si>
    <t>10128 Dec CO</t>
  </si>
  <si>
    <t>10128 Dec to Bill Ou</t>
  </si>
  <si>
    <t>01/30/2026</t>
  </si>
  <si>
    <t>10130</t>
  </si>
  <si>
    <t>03/16/2026</t>
  </si>
  <si>
    <t>10135 April</t>
  </si>
  <si>
    <t>04/22/2025</t>
  </si>
  <si>
    <t>10135 June</t>
  </si>
  <si>
    <t>06/22/2025</t>
  </si>
  <si>
    <t>10135 July</t>
  </si>
  <si>
    <t>08/01/2025</t>
  </si>
  <si>
    <t>10135 August</t>
  </si>
  <si>
    <t>08/31/2025</t>
  </si>
  <si>
    <t>10135 Sedptember</t>
  </si>
  <si>
    <t>09/30/2025</t>
  </si>
  <si>
    <t>10135 October</t>
  </si>
  <si>
    <t>10/30/2025</t>
  </si>
  <si>
    <t>10135 November</t>
  </si>
  <si>
    <t>11/29/2025</t>
  </si>
  <si>
    <t>10135 December</t>
  </si>
  <si>
    <t>12/29/2025</t>
  </si>
  <si>
    <t>10135 January</t>
  </si>
  <si>
    <t>01/28/2026</t>
  </si>
  <si>
    <t>10135 February</t>
  </si>
  <si>
    <t>02/27/2026</t>
  </si>
  <si>
    <t>10135 March</t>
  </si>
  <si>
    <t>03/29/2026</t>
  </si>
  <si>
    <t>04/28/2026</t>
  </si>
  <si>
    <t>10135 May</t>
  </si>
  <si>
    <t>05/28/2026</t>
  </si>
  <si>
    <t>07/20/2026</t>
  </si>
  <si>
    <t>10141 March</t>
  </si>
  <si>
    <t>10141 April</t>
  </si>
  <si>
    <t>10141 May</t>
  </si>
  <si>
    <t>10141 June</t>
  </si>
  <si>
    <t>10141 July</t>
  </si>
  <si>
    <t>10141 August</t>
  </si>
  <si>
    <t>10141 September</t>
  </si>
  <si>
    <t>10141 October</t>
  </si>
  <si>
    <t>10141 November</t>
  </si>
  <si>
    <t>10141 December</t>
  </si>
  <si>
    <t>10141 January</t>
  </si>
  <si>
    <t>10141 February</t>
  </si>
  <si>
    <t>10142.01 November</t>
  </si>
  <si>
    <t>10142.02 December</t>
  </si>
  <si>
    <t>10142.03 January</t>
  </si>
  <si>
    <t>10142.04 February</t>
  </si>
  <si>
    <t>10142 March</t>
  </si>
  <si>
    <t>10142 April</t>
  </si>
  <si>
    <t>10142 May</t>
  </si>
  <si>
    <t>10142 June</t>
  </si>
  <si>
    <t>10142 July</t>
  </si>
  <si>
    <t>10142 August</t>
  </si>
  <si>
    <t>10142 September</t>
  </si>
  <si>
    <t>10142 October</t>
  </si>
  <si>
    <t>10142 November</t>
  </si>
  <si>
    <t>10142 December</t>
  </si>
  <si>
    <t>10142 January</t>
  </si>
  <si>
    <t>10142 February</t>
  </si>
  <si>
    <t>10143 January</t>
  </si>
  <si>
    <t>07/06/2026</t>
  </si>
  <si>
    <t>10143 March</t>
  </si>
  <si>
    <t>10143 April</t>
  </si>
  <si>
    <t>10143 May</t>
  </si>
  <si>
    <t>10143 June</t>
  </si>
  <si>
    <t>10143 July</t>
  </si>
  <si>
    <t>10143 November</t>
  </si>
  <si>
    <t>10143 December</t>
  </si>
  <si>
    <t>10152 May</t>
  </si>
  <si>
    <t>06/19/2025</t>
  </si>
  <si>
    <t>10152 June</t>
  </si>
  <si>
    <t>07/19/2025</t>
  </si>
  <si>
    <t>10152 July</t>
  </si>
  <si>
    <t>08/18/2025</t>
  </si>
  <si>
    <t>10152 August</t>
  </si>
  <si>
    <t>10152 September</t>
  </si>
  <si>
    <t>10152 October</t>
  </si>
  <si>
    <t>11/16/2025</t>
  </si>
  <si>
    <t>10152 November</t>
  </si>
  <si>
    <t>12/16/2025</t>
  </si>
  <si>
    <t>10152 DEC Rev1</t>
  </si>
  <si>
    <t>10152 Dec</t>
  </si>
  <si>
    <t>10152 January</t>
  </si>
  <si>
    <t>03/01/2026</t>
  </si>
  <si>
    <t>10152 Feb</t>
  </si>
  <si>
    <t>03/26/2026</t>
  </si>
  <si>
    <t>10152 March</t>
  </si>
  <si>
    <t>04/25/2026</t>
  </si>
  <si>
    <t>10152 April</t>
  </si>
  <si>
    <t>05/25/2026</t>
  </si>
  <si>
    <t>06/24/2026</t>
  </si>
  <si>
    <t>10156  10156 - Encore NTMC</t>
  </si>
  <si>
    <t>10156 January</t>
  </si>
  <si>
    <t>07/01/2025</t>
  </si>
  <si>
    <t>10156 March</t>
  </si>
  <si>
    <t>10156 April</t>
  </si>
  <si>
    <t>10156 May</t>
  </si>
  <si>
    <t>10156 June</t>
  </si>
  <si>
    <t>07/25/2025</t>
  </si>
  <si>
    <t>10156 July</t>
  </si>
  <si>
    <t>10156 August</t>
  </si>
  <si>
    <t>10156 October</t>
  </si>
  <si>
    <t>04/24/2026</t>
  </si>
  <si>
    <t>05/24/2026</t>
  </si>
  <si>
    <t>06/23/2026</t>
  </si>
  <si>
    <t>10163  Building C Retail Center</t>
  </si>
  <si>
    <t>10163 October</t>
  </si>
  <si>
    <t>10/25/2025</t>
  </si>
  <si>
    <t>10163 November</t>
  </si>
  <si>
    <t>11/24/2025</t>
  </si>
  <si>
    <t>10163 December</t>
  </si>
  <si>
    <t>12/24/2025</t>
  </si>
  <si>
    <t>10163 March</t>
  </si>
  <si>
    <t>03/20/2026</t>
  </si>
  <si>
    <t>10163 May</t>
  </si>
  <si>
    <t>10167  10167 - Ritz Residences North Tower</t>
  </si>
  <si>
    <t>10167 October</t>
  </si>
  <si>
    <t>11/20/2025</t>
  </si>
  <si>
    <t>10167 December</t>
  </si>
  <si>
    <t>01/20/2026</t>
  </si>
  <si>
    <t>10167 January</t>
  </si>
  <si>
    <t>02/20/2026</t>
  </si>
  <si>
    <t>10167 November</t>
  </si>
  <si>
    <t>02/25/2026</t>
  </si>
  <si>
    <t>10167 February</t>
  </si>
  <si>
    <t>10167 March</t>
  </si>
  <si>
    <t>04/20/2026</t>
  </si>
  <si>
    <t>10167 February-FIX</t>
  </si>
  <si>
    <t>10167 APRIL</t>
  </si>
  <si>
    <t>05/20/2026</t>
  </si>
  <si>
    <t>10167 May</t>
  </si>
  <si>
    <t>10167 June</t>
  </si>
  <si>
    <t>10170  10170 - Miami Freedom Park</t>
  </si>
  <si>
    <t>10170</t>
  </si>
  <si>
    <t>10173  10173 - Retail Center B</t>
  </si>
  <si>
    <t>10173 March</t>
  </si>
  <si>
    <t>03/25/2026</t>
  </si>
  <si>
    <t>10173 May</t>
  </si>
  <si>
    <t>10173 June</t>
  </si>
  <si>
    <t>10174  10174 - Retail Center D</t>
  </si>
  <si>
    <t>10174 October</t>
  </si>
  <si>
    <t>10174 November</t>
  </si>
  <si>
    <t>10174 Dec</t>
  </si>
  <si>
    <t>10174 March</t>
  </si>
  <si>
    <t>03/23/2026</t>
  </si>
  <si>
    <t>10174 May</t>
  </si>
  <si>
    <t>10174 June</t>
  </si>
  <si>
    <t>10175  10175 -Totum Market</t>
  </si>
  <si>
    <t>10175 January</t>
  </si>
  <si>
    <t>01/25/2026</t>
  </si>
  <si>
    <t>10175 Feb</t>
  </si>
  <si>
    <t>10175 March</t>
  </si>
  <si>
    <t>03/31/2026</t>
  </si>
  <si>
    <t>10175 April</t>
  </si>
  <si>
    <t>04/30/2026</t>
  </si>
  <si>
    <t>10175 May</t>
  </si>
  <si>
    <t>05/30/2026</t>
  </si>
  <si>
    <t>10175 June</t>
  </si>
  <si>
    <t>10178  10178 - Retail A</t>
  </si>
  <si>
    <t>10179  10179 - Retail E</t>
  </si>
  <si>
    <t>10179 March</t>
  </si>
  <si>
    <t>10179 May</t>
  </si>
  <si>
    <t>10179 June</t>
  </si>
  <si>
    <t>10181  10181 - PCL Civil Office</t>
  </si>
  <si>
    <t>10181 January</t>
  </si>
  <si>
    <t>10181 Feb</t>
  </si>
  <si>
    <t>10181 March</t>
  </si>
  <si>
    <t>10181 April</t>
  </si>
  <si>
    <t>10181 May</t>
  </si>
  <si>
    <t>10181 June</t>
  </si>
  <si>
    <t>10182 January</t>
  </si>
  <si>
    <t>04/01/2026</t>
  </si>
  <si>
    <t>10182 February</t>
  </si>
  <si>
    <t>10182 March</t>
  </si>
  <si>
    <t>10182 April</t>
  </si>
  <si>
    <t>10186  Straticon - 4 Seasons Custom</t>
  </si>
  <si>
    <t>10186 April</t>
  </si>
  <si>
    <t>10195  10195 - Level 7 Encore</t>
  </si>
  <si>
    <t>10195 May</t>
  </si>
  <si>
    <t>10195 June</t>
  </si>
  <si>
    <t>10199  10199 - Recurring Capital</t>
  </si>
  <si>
    <t>10199</t>
  </si>
  <si>
    <t>20041  LM Electrical Substation</t>
  </si>
  <si>
    <t>20042  20042 - City National Bank of Florida</t>
  </si>
  <si>
    <t>20042.01</t>
  </si>
  <si>
    <t xml:space="preserve"> 10171 - 10171 - Boulanger Drywall* </t>
  </si>
  <si>
    <t xml:space="preserve">10164 - SMC Tampa Reno </t>
  </si>
  <si>
    <t>07/28/2026</t>
  </si>
  <si>
    <t xml:space="preserve"> 10202 - 10202-Epcot Germany Restroom </t>
  </si>
  <si>
    <t xml:space="preserve"> 10203 - 10203 - 400 Central Remediation </t>
  </si>
  <si>
    <t xml:space="preserve"> 10204 - 10204 - Harry and Henry's </t>
  </si>
  <si>
    <t xml:space="preserve"> 10205 - 10205 - Thoroughbreds </t>
  </si>
  <si>
    <t>20043 - Ridgeclub</t>
  </si>
  <si>
    <t>Accounts Receivable Aging - August 31, 2026</t>
  </si>
  <si>
    <t>12/31/2026</t>
  </si>
  <si>
    <t>10120 JULY</t>
  </si>
  <si>
    <t>08/27/2026</t>
  </si>
  <si>
    <t>09/11/2026</t>
  </si>
  <si>
    <t>10143 August</t>
  </si>
  <si>
    <t>10147  10147 - Jordan House</t>
  </si>
  <si>
    <t>10147 August</t>
  </si>
  <si>
    <t>08/31/2026</t>
  </si>
  <si>
    <t>07/24/2026</t>
  </si>
  <si>
    <t>08/23/2026</t>
  </si>
  <si>
    <t>09/22/2026</t>
  </si>
  <si>
    <t>10158  10158 - Stephens Residence</t>
  </si>
  <si>
    <t>10158 August</t>
  </si>
  <si>
    <t>07/20/2025</t>
  </si>
  <si>
    <t>10167 July</t>
  </si>
  <si>
    <t>08/20/2026</t>
  </si>
  <si>
    <t>10167 August</t>
  </si>
  <si>
    <t>09/20/2026</t>
  </si>
  <si>
    <t>08/01/2026</t>
  </si>
  <si>
    <t>10173 August</t>
  </si>
  <si>
    <t>06/25/2026</t>
  </si>
  <si>
    <t>10175 July</t>
  </si>
  <si>
    <t>07/25/2026</t>
  </si>
  <si>
    <t>10176  10176 -The Avery</t>
  </si>
  <si>
    <t>10176 June</t>
  </si>
  <si>
    <t>07/01/2026</t>
  </si>
  <si>
    <t>10178 JUNE</t>
  </si>
  <si>
    <t>10178 July</t>
  </si>
  <si>
    <t>10178 August</t>
  </si>
  <si>
    <t>10180  10180 - Retail F</t>
  </si>
  <si>
    <t>10180 June</t>
  </si>
  <si>
    <t>10180 August</t>
  </si>
  <si>
    <t>08/26/2026</t>
  </si>
  <si>
    <t>10181 JULY</t>
  </si>
  <si>
    <t>10182  10182 - Disney Beach Club Ext Rehab</t>
  </si>
  <si>
    <t>10182 May</t>
  </si>
  <si>
    <t>10182 June</t>
  </si>
  <si>
    <t>10182 JULY</t>
  </si>
  <si>
    <t>10182 August</t>
  </si>
  <si>
    <t>10186-June</t>
  </si>
  <si>
    <t>10186-July</t>
  </si>
  <si>
    <t>10193  10193 - Retail G</t>
  </si>
  <si>
    <t>10193 July</t>
  </si>
  <si>
    <t>10195 July</t>
  </si>
  <si>
    <t>10195 August</t>
  </si>
  <si>
    <t>20035  20035 - HPCC PH 2 - NEW 20005</t>
  </si>
  <si>
    <t>20035.03 August</t>
  </si>
  <si>
    <t>08/24/2026</t>
  </si>
  <si>
    <t>20041 August</t>
  </si>
  <si>
    <t>20044  20044 - HCA</t>
  </si>
  <si>
    <t>20044-May</t>
  </si>
  <si>
    <t>Over/Under Billings - August 31, 2026</t>
  </si>
  <si>
    <t>August YTD</t>
  </si>
  <si>
    <t>January 1, 2026 - August 31, 2026</t>
  </si>
  <si>
    <t>10127 - Project 913 - Main Hotel</t>
  </si>
  <si>
    <t>10139 - 10139 - WEC Event Center</t>
  </si>
  <si>
    <t>10168 - 10168 - WGH Building</t>
  </si>
  <si>
    <t>20040 - 20040 - Amazon MC09*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</si>
</sst>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_);[Red]\(&quot;$&quot;#,##0\)"/>
    <numFmt numFmtId="165" formatCode="&quot;$&quot;#,##0.00_);\(&quot;$&quot;#,##0.00\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@_)"/>
    <numFmt numFmtId="170" formatCode="&quot;$&quot;#,##0.00_);&quot;$&quot;\(#,##0.00\)"/>
    <numFmt numFmtId="171" formatCode="###,###,##0.00"/>
    <numFmt numFmtId="172" formatCode="[$-409]mmmm\ d\,\ yyyy;@"/>
    <numFmt numFmtId="173" formatCode="0_);\(0\)"/>
    <numFmt numFmtId="174" formatCode="_(* #,##0_);_(* \(#,##0\);_(* &quot;-&quot;??_);_(@_)"/>
    <numFmt numFmtId="175" formatCode="#,##0.000000000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u val="singleAccounting"/>
      <sz val="11"/>
      <color theme="1"/>
      <name val="Calibri"/>
      <family val="2"/>
      <scheme val="minor"/>
    </font>
    <font>
      <b/>
      <u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7" fillId="0" borderId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8" fontId="7" fillId="0" borderId="0" applyFont="0" applyFill="0" applyBorder="0" applyAlignment="0" applyProtection="0"/>
    <xf numFmtId="168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29">
    <xf numFmtId="0" fontId="0" fillId="0" borderId="0" xfId="0"/>
    <xf numFmtId="169" fontId="0" fillId="0" borderId="0" xfId="0" applyNumberFormat="1" applyProtection="1">
      <protection locked="0"/>
    </xf>
    <xf numFmtId="169" fontId="1" fillId="0" borderId="0" xfId="0" applyNumberFormat="1" applyFont="1" applyProtection="1">
      <protection locked="0"/>
    </xf>
    <xf numFmtId="39" fontId="0" fillId="0" borderId="0" xfId="0" applyNumberFormat="1" applyAlignment="1" applyProtection="1">
      <alignment horizontal="right"/>
      <protection locked="0"/>
    </xf>
    <xf numFmtId="39" fontId="1" fillId="0" borderId="0" xfId="0" applyNumberFormat="1" applyFont="1" applyAlignment="1" applyProtection="1">
      <alignment horizontal="right"/>
      <protection locked="0"/>
    </xf>
    <xf numFmtId="39" fontId="1" fillId="2" borderId="0" xfId="0" applyNumberFormat="1" applyFont="1" applyFill="1" applyAlignment="1">
      <alignment horizontal="right"/>
    </xf>
    <xf numFmtId="39" fontId="0" fillId="0" borderId="0" xfId="0" applyNumberFormat="1"/>
    <xf numFmtId="169" fontId="3" fillId="0" borderId="0" xfId="0" applyNumberFormat="1" applyFont="1" applyProtection="1">
      <protection locked="0"/>
    </xf>
    <xf numFmtId="39" fontId="3" fillId="0" borderId="0" xfId="0" applyNumberFormat="1" applyFont="1" applyAlignment="1" applyProtection="1">
      <alignment horizontal="right"/>
      <protection locked="0"/>
    </xf>
    <xf numFmtId="167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9" fontId="1" fillId="0" borderId="0" xfId="0" applyNumberFormat="1" applyFont="1" applyAlignment="1" applyProtection="1">
      <alignment horizontal="center"/>
      <protection locked="0"/>
    </xf>
    <xf numFmtId="10" fontId="0" fillId="0" borderId="0" xfId="0" applyNumberFormat="1"/>
    <xf numFmtId="169" fontId="6" fillId="0" borderId="0" xfId="0" applyNumberFormat="1" applyFont="1"/>
    <xf numFmtId="0" fontId="6" fillId="0" borderId="0" xfId="0" applyFont="1"/>
    <xf numFmtId="0" fontId="7" fillId="0" borderId="0" xfId="0" applyFont="1"/>
    <xf numFmtId="0" fontId="1" fillId="0" borderId="0" xfId="0" applyFont="1"/>
    <xf numFmtId="2" fontId="0" fillId="0" borderId="0" xfId="0" applyNumberFormat="1"/>
    <xf numFmtId="0" fontId="9" fillId="0" borderId="0" xfId="0" applyFont="1"/>
    <xf numFmtId="0" fontId="8" fillId="0" borderId="0" xfId="0" applyFont="1" applyAlignment="1">
      <alignment horizontal="left"/>
    </xf>
    <xf numFmtId="169" fontId="2" fillId="0" borderId="0" xfId="0" applyNumberFormat="1" applyFont="1" applyProtection="1">
      <protection locked="0"/>
    </xf>
    <xf numFmtId="39" fontId="1" fillId="0" borderId="0" xfId="0" applyNumberFormat="1" applyFont="1" applyAlignment="1">
      <alignment horizontal="right"/>
    </xf>
    <xf numFmtId="10" fontId="1" fillId="0" borderId="0" xfId="0" applyNumberFormat="1" applyFont="1"/>
    <xf numFmtId="0" fontId="8" fillId="0" borderId="0" xfId="0" applyFont="1" applyAlignment="1">
      <alignment horizontal="center"/>
    </xf>
    <xf numFmtId="169" fontId="12" fillId="0" borderId="0" xfId="0" applyNumberFormat="1" applyFont="1" applyProtection="1">
      <protection locked="0"/>
    </xf>
    <xf numFmtId="0" fontId="3" fillId="0" borderId="0" xfId="0" applyFont="1"/>
    <xf numFmtId="170" fontId="12" fillId="3" borderId="0" xfId="0" applyNumberFormat="1" applyFont="1" applyFill="1" applyAlignment="1">
      <alignment horizontal="right"/>
    </xf>
    <xf numFmtId="39" fontId="12" fillId="3" borderId="0" xfId="0" applyNumberFormat="1" applyFont="1" applyFill="1" applyAlignment="1">
      <alignment horizontal="right"/>
    </xf>
    <xf numFmtId="167" fontId="0" fillId="0" borderId="2" xfId="0" applyNumberFormat="1" applyBorder="1"/>
    <xf numFmtId="0" fontId="0" fillId="0" borderId="1" xfId="0" applyBorder="1"/>
    <xf numFmtId="167" fontId="0" fillId="0" borderId="1" xfId="0" applyNumberFormat="1" applyBorder="1"/>
    <xf numFmtId="169" fontId="12" fillId="0" borderId="0" xfId="0" applyNumberFormat="1" applyFont="1" applyAlignment="1" applyProtection="1">
      <alignment horizontal="right"/>
      <protection locked="0"/>
    </xf>
    <xf numFmtId="169" fontId="1" fillId="0" borderId="0" xfId="0" applyNumberFormat="1" applyFont="1" applyAlignment="1" applyProtection="1">
      <alignment horizontal="right"/>
      <protection locked="0"/>
    </xf>
    <xf numFmtId="172" fontId="10" fillId="0" borderId="0" xfId="0" applyNumberFormat="1" applyFont="1" applyAlignment="1">
      <alignment horizontal="center"/>
    </xf>
    <xf numFmtId="39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 applyAlignment="1" applyProtection="1">
      <alignment horizontal="left"/>
      <protection locked="0"/>
    </xf>
    <xf numFmtId="170" fontId="12" fillId="0" borderId="0" xfId="0" applyNumberFormat="1" applyFont="1" applyAlignment="1">
      <alignment horizontal="right"/>
    </xf>
    <xf numFmtId="39" fontId="12" fillId="0" borderId="0" xfId="0" applyNumberFormat="1" applyFont="1" applyAlignment="1">
      <alignment horizontal="right"/>
    </xf>
    <xf numFmtId="39" fontId="12" fillId="0" borderId="0" xfId="0" applyNumberFormat="1" applyFont="1"/>
    <xf numFmtId="0" fontId="12" fillId="0" borderId="0" xfId="0" applyFont="1"/>
    <xf numFmtId="39" fontId="3" fillId="0" borderId="3" xfId="0" applyNumberFormat="1" applyFont="1" applyBorder="1"/>
    <xf numFmtId="39" fontId="12" fillId="0" borderId="3" xfId="0" applyNumberFormat="1" applyFont="1" applyBorder="1"/>
    <xf numFmtId="168" fontId="3" fillId="0" borderId="3" xfId="0" applyNumberFormat="1" applyFont="1" applyBorder="1"/>
    <xf numFmtId="39" fontId="12" fillId="0" borderId="3" xfId="0" applyNumberFormat="1" applyFont="1" applyBorder="1" applyAlignment="1">
      <alignment horizontal="right"/>
    </xf>
    <xf numFmtId="168" fontId="0" fillId="0" borderId="0" xfId="0" applyNumberFormat="1" applyAlignment="1" applyProtection="1">
      <alignment horizontal="right"/>
      <protection locked="0"/>
    </xf>
    <xf numFmtId="168" fontId="0" fillId="0" borderId="3" xfId="0" applyNumberFormat="1" applyBorder="1" applyAlignment="1" applyProtection="1">
      <alignment horizontal="right"/>
      <protection locked="0"/>
    </xf>
    <xf numFmtId="168" fontId="0" fillId="0" borderId="3" xfId="0" applyNumberFormat="1" applyBorder="1" applyAlignment="1">
      <alignment horizontal="right"/>
    </xf>
    <xf numFmtId="168" fontId="1" fillId="2" borderId="0" xfId="0" applyNumberFormat="1" applyFont="1" applyFill="1" applyAlignment="1">
      <alignment horizontal="right"/>
    </xf>
    <xf numFmtId="168" fontId="1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8" fontId="10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49" fontId="3" fillId="0" borderId="0" xfId="0" applyNumberFormat="1" applyFont="1" applyProtection="1">
      <protection locked="0"/>
    </xf>
    <xf numFmtId="167" fontId="1" fillId="0" borderId="0" xfId="0" applyNumberFormat="1" applyFont="1"/>
    <xf numFmtId="173" fontId="13" fillId="0" borderId="0" xfId="0" applyNumberFormat="1" applyFont="1" applyAlignment="1" applyProtection="1">
      <alignment horizontal="center"/>
      <protection locked="0"/>
    </xf>
    <xf numFmtId="39" fontId="0" fillId="0" borderId="3" xfId="0" applyNumberFormat="1" applyBorder="1" applyAlignment="1" applyProtection="1">
      <alignment horizontal="right"/>
      <protection locked="0"/>
    </xf>
    <xf numFmtId="169" fontId="0" fillId="0" borderId="0" xfId="0" applyNumberFormat="1" applyAlignment="1" applyProtection="1">
      <alignment horizontal="right"/>
      <protection locked="0"/>
    </xf>
    <xf numFmtId="171" fontId="1" fillId="2" borderId="0" xfId="0" applyNumberFormat="1" applyFont="1" applyFill="1" applyAlignment="1">
      <alignment horizontal="right"/>
    </xf>
    <xf numFmtId="167" fontId="0" fillId="0" borderId="4" xfId="0" applyNumberFormat="1" applyBorder="1"/>
    <xf numFmtId="39" fontId="1" fillId="3" borderId="0" xfId="0" applyNumberFormat="1" applyFont="1" applyFill="1" applyAlignment="1">
      <alignment horizontal="right"/>
    </xf>
    <xf numFmtId="39" fontId="1" fillId="3" borderId="0" xfId="0" applyNumberFormat="1" applyFont="1" applyFill="1"/>
    <xf numFmtId="167" fontId="1" fillId="3" borderId="0" xfId="0" applyNumberFormat="1" applyFont="1" applyFill="1"/>
    <xf numFmtId="167" fontId="1" fillId="3" borderId="0" xfId="0" applyNumberFormat="1" applyFont="1" applyFill="1" applyAlignment="1">
      <alignment horizontal="right"/>
    </xf>
    <xf numFmtId="171" fontId="0" fillId="0" borderId="0" xfId="0" applyNumberFormat="1" applyAlignment="1" applyProtection="1">
      <alignment horizontal="right"/>
      <protection locked="0"/>
    </xf>
    <xf numFmtId="171" fontId="0" fillId="2" borderId="0" xfId="0" applyNumberFormat="1" applyFill="1" applyAlignment="1">
      <alignment horizontal="right"/>
    </xf>
    <xf numFmtId="166" fontId="0" fillId="0" borderId="0" xfId="0" applyNumberFormat="1"/>
    <xf numFmtId="166" fontId="0" fillId="0" borderId="0" xfId="0" applyNumberFormat="1" applyProtection="1">
      <protection locked="0"/>
    </xf>
    <xf numFmtId="166" fontId="0" fillId="0" borderId="0" xfId="0" applyNumberFormat="1" applyAlignment="1" applyProtection="1">
      <alignment horizontal="right"/>
      <protection locked="0"/>
    </xf>
    <xf numFmtId="168" fontId="0" fillId="0" borderId="0" xfId="0" applyNumberFormat="1"/>
    <xf numFmtId="173" fontId="18" fillId="0" borderId="0" xfId="0" applyNumberFormat="1" applyFont="1" applyAlignment="1" applyProtection="1">
      <alignment horizontal="center"/>
      <protection locked="0"/>
    </xf>
    <xf numFmtId="168" fontId="16" fillId="0" borderId="0" xfId="0" applyNumberFormat="1" applyFont="1" applyAlignment="1">
      <alignment horizontal="right"/>
    </xf>
    <xf numFmtId="168" fontId="16" fillId="0" borderId="3" xfId="0" applyNumberFormat="1" applyFont="1" applyBorder="1" applyAlignment="1">
      <alignment horizontal="right"/>
    </xf>
    <xf numFmtId="168" fontId="16" fillId="0" borderId="0" xfId="0" applyNumberFormat="1" applyFont="1" applyAlignment="1" applyProtection="1">
      <alignment horizontal="right"/>
      <protection locked="0"/>
    </xf>
    <xf numFmtId="168" fontId="16" fillId="0" borderId="3" xfId="0" applyNumberFormat="1" applyFont="1" applyBorder="1" applyAlignment="1" applyProtection="1">
      <alignment horizontal="right"/>
      <protection locked="0"/>
    </xf>
    <xf numFmtId="168" fontId="17" fillId="5" borderId="0" xfId="0" applyNumberFormat="1" applyFont="1" applyFill="1" applyAlignment="1">
      <alignment horizontal="right"/>
    </xf>
    <xf numFmtId="168" fontId="17" fillId="0" borderId="0" xfId="0" applyNumberFormat="1" applyFont="1" applyAlignment="1">
      <alignment horizontal="right"/>
    </xf>
    <xf numFmtId="168" fontId="16" fillId="0" borderId="4" xfId="0" applyNumberFormat="1" applyFont="1" applyBorder="1" applyAlignment="1">
      <alignment horizontal="right"/>
    </xf>
    <xf numFmtId="0" fontId="20" fillId="0" borderId="0" xfId="0" applyFont="1" applyAlignment="1">
      <alignment horizontal="center"/>
    </xf>
    <xf numFmtId="174" fontId="20" fillId="0" borderId="0" xfId="9" applyNumberFormat="1" applyFont="1" applyFill="1" applyAlignment="1">
      <alignment horizontal="center"/>
    </xf>
    <xf numFmtId="168" fontId="0" fillId="0" borderId="4" xfId="0" applyNumberFormat="1" applyBorder="1" applyAlignment="1">
      <alignment horizontal="right"/>
    </xf>
    <xf numFmtId="168" fontId="0" fillId="6" borderId="0" xfId="0" applyNumberFormat="1" applyFill="1"/>
    <xf numFmtId="168" fontId="1" fillId="6" borderId="0" xfId="0" applyNumberFormat="1" applyFont="1" applyFill="1" applyAlignment="1">
      <alignment horizontal="center"/>
    </xf>
    <xf numFmtId="169" fontId="10" fillId="0" borderId="0" xfId="0" applyNumberFormat="1" applyFont="1" applyAlignment="1">
      <alignment horizontal="center"/>
    </xf>
    <xf numFmtId="168" fontId="23" fillId="0" borderId="0" xfId="0" applyNumberFormat="1" applyFont="1"/>
    <xf numFmtId="0" fontId="23" fillId="0" borderId="0" xfId="0" applyFont="1" applyAlignment="1">
      <alignment horizontal="center"/>
    </xf>
    <xf numFmtId="168" fontId="1" fillId="0" borderId="5" xfId="0" applyNumberFormat="1" applyFont="1" applyBorder="1" applyAlignment="1" applyProtection="1">
      <alignment horizontal="right"/>
      <protection locked="0"/>
    </xf>
    <xf numFmtId="164" fontId="2" fillId="0" borderId="0" xfId="0" applyNumberFormat="1" applyFont="1" applyAlignment="1">
      <alignment horizontal="right"/>
    </xf>
    <xf numFmtId="14" fontId="2" fillId="0" borderId="0" xfId="0" applyNumberFormat="1" applyFont="1"/>
    <xf numFmtId="0" fontId="2" fillId="0" borderId="0" xfId="0" applyFont="1"/>
    <xf numFmtId="0" fontId="6" fillId="0" borderId="6" xfId="0" applyFont="1" applyBorder="1" applyAlignment="1">
      <alignment horizontal="center"/>
    </xf>
    <xf numFmtId="169" fontId="1" fillId="0" borderId="5" xfId="0" applyNumberFormat="1" applyFont="1" applyBorder="1" applyProtection="1">
      <protection locked="0"/>
    </xf>
    <xf numFmtId="0" fontId="0" fillId="0" borderId="5" xfId="0" applyBorder="1"/>
    <xf numFmtId="168" fontId="1" fillId="0" borderId="7" xfId="0" applyNumberFormat="1" applyFont="1" applyBorder="1" applyAlignment="1" applyProtection="1">
      <alignment horizontal="right"/>
      <protection locked="0"/>
    </xf>
    <xf numFmtId="0" fontId="24" fillId="0" borderId="0" xfId="0" applyFont="1" applyAlignment="1">
      <alignment horizontal="center"/>
    </xf>
    <xf numFmtId="165" fontId="0" fillId="0" borderId="0" xfId="0" applyNumberFormat="1"/>
    <xf numFmtId="4" fontId="0" fillId="0" borderId="0" xfId="0" applyNumberFormat="1"/>
    <xf numFmtId="10" fontId="1" fillId="3" borderId="0" xfId="23" applyNumberFormat="1" applyFont="1" applyFill="1"/>
    <xf numFmtId="0" fontId="0" fillId="4" borderId="0" xfId="0" applyFill="1"/>
    <xf numFmtId="168" fontId="0" fillId="0" borderId="0" xfId="9" applyFont="1"/>
    <xf numFmtId="174" fontId="0" fillId="0" borderId="0" xfId="9" applyNumberFormat="1" applyFont="1"/>
    <xf numFmtId="10" fontId="0" fillId="0" borderId="0" xfId="23" applyNumberFormat="1" applyFont="1"/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7" fontId="0" fillId="0" borderId="0" xfId="0" applyNumberFormat="1"/>
    <xf numFmtId="0" fontId="1" fillId="7" borderId="0" xfId="0" applyFont="1" applyFill="1"/>
    <xf numFmtId="0" fontId="0" fillId="7" borderId="0" xfId="0" applyFill="1"/>
    <xf numFmtId="37" fontId="1" fillId="7" borderId="0" xfId="0" applyNumberFormat="1" applyFont="1" applyFill="1"/>
    <xf numFmtId="10" fontId="2" fillId="0" borderId="0" xfId="23" applyNumberFormat="1" applyFont="1"/>
    <xf numFmtId="166" fontId="1" fillId="0" borderId="0" xfId="0" applyNumberFormat="1" applyFont="1" applyAlignment="1">
      <alignment horizontal="center"/>
    </xf>
    <xf numFmtId="171" fontId="0" fillId="4" borderId="0" xfId="0" applyNumberFormat="1" applyFill="1" applyAlignment="1" applyProtection="1">
      <alignment horizontal="right"/>
      <protection locked="0"/>
    </xf>
    <xf numFmtId="174" fontId="0" fillId="0" borderId="0" xfId="0" applyNumberFormat="1"/>
    <xf numFmtId="175" fontId="0" fillId="0" borderId="0" xfId="0" applyNumberFormat="1"/>
    <xf numFmtId="171" fontId="1" fillId="0" borderId="0" xfId="0" applyNumberFormat="1" applyFont="1" applyAlignment="1">
      <alignment horizontal="right"/>
    </xf>
    <xf numFmtId="0" fontId="0" fillId="8" borderId="0" xfId="0" applyFill="1"/>
    <xf numFmtId="169" fontId="1" fillId="8" borderId="0" xfId="0" applyNumberFormat="1" applyFont="1" applyFill="1" applyAlignment="1" applyProtection="1">
      <alignment horizontal="right"/>
      <protection locked="0"/>
    </xf>
    <xf numFmtId="171" fontId="0" fillId="8" borderId="0" xfId="0" applyNumberFormat="1" applyFill="1" applyAlignment="1" applyProtection="1">
      <alignment horizontal="right"/>
      <protection locked="0"/>
    </xf>
    <xf numFmtId="171" fontId="1" fillId="8" borderId="0" xfId="0" applyNumberFormat="1" applyFont="1" applyFill="1" applyAlignment="1">
      <alignment horizontal="right"/>
    </xf>
    <xf numFmtId="4" fontId="0" fillId="8" borderId="0" xfId="0" applyNumberFormat="1" applyFill="1"/>
    <xf numFmtId="171" fontId="0" fillId="8" borderId="0" xfId="0" applyNumberFormat="1" applyFill="1"/>
    <xf numFmtId="49" fontId="0" fillId="0" borderId="0" xfId="0" applyNumberFormat="1" applyProtection="1">
      <protection locked="0"/>
    </xf>
    <xf numFmtId="0" fontId="11" fillId="0" borderId="0" xfId="0" applyFont="1" applyAlignment="1">
      <alignment horizontal="center"/>
    </xf>
    <xf numFmtId="169" fontId="10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/>
    </xf>
    <xf numFmtId="172" fontId="10" fillId="0" borderId="0" xfId="0" applyNumberFormat="1" applyFont="1" applyAlignment="1">
      <alignment horizontal="center"/>
    </xf>
    <xf numFmtId="169" fontId="11" fillId="0" borderId="0" xfId="0" applyNumberFormat="1" applyFont="1" applyAlignment="1" applyProtection="1">
      <alignment horizontal="center"/>
      <protection locked="0"/>
    </xf>
    <xf numFmtId="168" fontId="21" fillId="0" borderId="0" xfId="0" applyNumberFormat="1" applyFont="1" applyAlignment="1">
      <alignment horizontal="center"/>
    </xf>
  </cellXfs>
  <cellStyles count="24">
    <cellStyle name="Comma" xfId="9" builtinId="3"/>
    <cellStyle name="Comma 2" xfId="21" xr:uid="{2DD1302C-4DAE-446E-8F09-064311337E02}"/>
    <cellStyle name="Comma 3" xfId="22" xr:uid="{7E9838B9-DB88-47DC-BCA0-031742891585}"/>
    <cellStyle name="Currency 2" xfId="3" xr:uid="{00000000-0005-0000-0000-000000000000}"/>
    <cellStyle name="Currency 2 2" xfId="7" xr:uid="{00000000-0005-0000-0000-000001000000}"/>
    <cellStyle name="Currency 3" xfId="2" xr:uid="{00000000-0005-0000-0000-000002000000}"/>
    <cellStyle name="Normal" xfId="0" builtinId="0"/>
    <cellStyle name="Normal 10" xfId="19" xr:uid="{B1563667-BD7B-4193-84D1-876911DF739A}"/>
    <cellStyle name="Normal 11" xfId="20" xr:uid="{43457879-7F65-46D9-8116-1EBB55CF393F}"/>
    <cellStyle name="Normal 12" xfId="10" xr:uid="{9E7C79DF-1614-4AB3-A19C-2557A6E3217F}"/>
    <cellStyle name="Normal 13" xfId="11" xr:uid="{8D4F8FEE-59C0-4764-897F-9F7BD53EB95E}"/>
    <cellStyle name="Normal 2" xfId="1" xr:uid="{00000000-0005-0000-0000-000004000000}"/>
    <cellStyle name="Normal 3" xfId="6" xr:uid="{00000000-0005-0000-0000-000005000000}"/>
    <cellStyle name="Normal 3 2" xfId="12" xr:uid="{936733D9-E4D5-48CB-A183-48CC695E468F}"/>
    <cellStyle name="Normal 4" xfId="13" xr:uid="{292AFA26-2425-479E-8A63-3ECD229E93A0}"/>
    <cellStyle name="Normal 5" xfId="14" xr:uid="{5F40972F-9D6F-47F3-B4F9-B5DAA7EE8319}"/>
    <cellStyle name="Normal 6" xfId="15" xr:uid="{8018567E-A492-4373-96A2-59D03C617F4D}"/>
    <cellStyle name="Normal 7" xfId="16" xr:uid="{8256DDEA-6511-4831-82CA-E98ED411B26C}"/>
    <cellStyle name="Normal 8" xfId="17" xr:uid="{BF40CE4F-D6E2-4C70-9A28-B16142955558}"/>
    <cellStyle name="Normal 9" xfId="18" xr:uid="{EC21B7BA-1419-4D9A-81BC-59B1A6971437}"/>
    <cellStyle name="Percent" xfId="23" builtinId="5"/>
    <cellStyle name="Percent 2" xfId="5" xr:uid="{00000000-0005-0000-0000-000006000000}"/>
    <cellStyle name="Percent 2 2" xfId="8" xr:uid="{00000000-0005-0000-0000-000007000000}"/>
    <cellStyle name="Percent 3" xfId="4" xr:uid="{00000000-0005-0000-0000-000008000000}"/>
  </cellStyles>
  <dxfs count="0"/>
  <tableStyles count="0" defaultTableStyle="TableStyleMedium2" defaultPivotStyle="PivotStyleLight16"/>
  <colors>
    <mruColors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575945</xdr:colOff>
      <xdr:row>0</xdr:row>
      <xdr:rowOff>0</xdr:rowOff>
    </xdr:from>
    <xdr:to>
      <xdr:col>4</xdr:col>
      <xdr:colOff>263525</xdr:colOff>
      <xdr:row>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80845" y="0"/>
          <a:ext cx="2992755" cy="611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558803</xdr:colOff>
      <xdr:row>0</xdr:row>
      <xdr:rowOff>23813</xdr:rowOff>
    </xdr:from>
    <xdr:to>
      <xdr:col>2</xdr:col>
      <xdr:colOff>76202</xdr:colOff>
      <xdr:row>3</xdr:row>
      <xdr:rowOff>100013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0603" y="23813"/>
          <a:ext cx="2912532" cy="6773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899795</xdr:colOff>
      <xdr:row>0</xdr:row>
      <xdr:rowOff>0</xdr:rowOff>
    </xdr:from>
    <xdr:to>
      <xdr:col>4</xdr:col>
      <xdr:colOff>587375</xdr:colOff>
      <xdr:row>3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4695" y="0"/>
          <a:ext cx="2992755" cy="611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2457450</xdr:colOff>
      <xdr:row>0</xdr:row>
      <xdr:rowOff>76200</xdr:rowOff>
    </xdr:from>
    <xdr:to>
      <xdr:col>7</xdr:col>
      <xdr:colOff>714375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95600" y="76200"/>
          <a:ext cx="24384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0</xdr:row>
      <xdr:rowOff>45720</xdr:rowOff>
    </xdr:from>
    <xdr:to>
      <xdr:col>9</xdr:col>
      <xdr:colOff>123613</xdr:colOff>
      <xdr:row>3</xdr:row>
      <xdr:rowOff>163830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7480" y="45720"/>
          <a:ext cx="2912533" cy="6896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394335</xdr:colOff>
      <xdr:row>0</xdr:row>
      <xdr:rowOff>57150</xdr:rowOff>
    </xdr:from>
    <xdr:to>
      <xdr:col>7</xdr:col>
      <xdr:colOff>66463</xdr:colOff>
      <xdr:row>3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28210" y="57150"/>
          <a:ext cx="3901228" cy="6896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0</xdr:row>
      <xdr:rowOff>95250</xdr:rowOff>
    </xdr:from>
    <xdr:to>
      <xdr:col>12</xdr:col>
      <xdr:colOff>0</xdr:colOff>
      <xdr:row>4</xdr:row>
      <xdr:rowOff>32385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25675" y="95250"/>
          <a:ext cx="3796453" cy="699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394335</xdr:colOff>
      <xdr:row>0</xdr:row>
      <xdr:rowOff>57150</xdr:rowOff>
    </xdr:from>
    <xdr:to>
      <xdr:col>7</xdr:col>
      <xdr:colOff>66463</xdr:colOff>
      <xdr:row>3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B23E81-8052-4094-8FDC-1004CF64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23135" y="57150"/>
          <a:ext cx="2691553" cy="6896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J60"/>
  <sheetViews>
    <sheetView zoomScale="80" zoomScaleNormal="80" workbookViewId="0">
      <selection activeCell="K14" sqref="K14"/>
    </sheetView>
  </sheetViews>
  <sheetFormatPr defaultColWidth="9.109375" defaultRowHeight="14.4" x14ac:dyDescent="0.3"/>
  <cols>
    <col min="2" max="2" width="6.88671875" customWidth="1"/>
    <col min="3" max="3" width="32.5546875" customWidth="1"/>
    <col min="4" max="4" width="15.6640625" customWidth="1"/>
    <col min="5" max="5" width="17.33203125" bestFit="1" customWidth="1"/>
    <col min="6" max="6" width="10.33203125" customWidth="1"/>
    <col min="7" max="7" width="14.109375" bestFit="1" customWidth="1"/>
    <col min="9" max="9" width="14.88671875" bestFit="1" customWidth="1"/>
    <col min="10" max="10" width="13.5546875" bestFit="1" customWidth="1"/>
  </cols>
  <sheetData>
    <row r="3" spans="1:10" x14ac:dyDescent="0.3">
      <c r="A3" s="21"/>
      <c r="B3" s="22"/>
    </row>
    <row r="4" spans="1:10" ht="27" customHeight="1" x14ac:dyDescent="0.3">
      <c r="A4" s="124" t="s">
        <v>43</v>
      </c>
      <c r="B4" s="124"/>
      <c r="C4" s="124"/>
      <c r="D4" s="124"/>
      <c r="E4" s="124"/>
      <c r="F4" s="124"/>
    </row>
    <row r="5" spans="1:10" x14ac:dyDescent="0.3">
      <c r="A5" s="125">
        <v>46265</v>
      </c>
      <c r="B5" s="125"/>
      <c r="C5" s="125"/>
      <c r="D5" s="125"/>
      <c r="E5" s="125"/>
      <c r="F5" s="125"/>
    </row>
    <row r="6" spans="1:10" x14ac:dyDescent="0.3">
      <c r="A6" s="26" t="s">
        <v>44</v>
      </c>
      <c r="B6" s="27"/>
      <c r="C6" s="27"/>
      <c r="D6" s="27"/>
      <c r="E6" s="27"/>
      <c r="F6" s="27"/>
    </row>
    <row r="7" spans="1:10" x14ac:dyDescent="0.3">
      <c r="A7" s="27"/>
      <c r="B7" s="27"/>
      <c r="C7" s="27"/>
      <c r="D7" s="27"/>
      <c r="E7" s="27"/>
      <c r="F7" s="27"/>
    </row>
    <row r="8" spans="1:10" x14ac:dyDescent="0.3">
      <c r="B8" s="26" t="s">
        <v>45</v>
      </c>
      <c r="C8" s="27"/>
      <c r="D8" s="27"/>
      <c r="E8" s="27"/>
      <c r="F8" s="27"/>
    </row>
    <row r="9" spans="1:10" x14ac:dyDescent="0.3">
      <c r="A9" s="27"/>
      <c r="B9" s="27"/>
      <c r="C9" s="27" t="s">
        <v>98</v>
      </c>
      <c r="D9" s="27"/>
      <c r="E9" s="36">
        <f>SUM('August 2026 - Balance Sheet'!E11:E11)</f>
        <v>10056038.66</v>
      </c>
      <c r="F9" s="27"/>
    </row>
    <row r="10" spans="1:10" x14ac:dyDescent="0.3">
      <c r="A10" s="27"/>
      <c r="B10" s="7" t="s">
        <v>72</v>
      </c>
      <c r="C10" s="27" t="s">
        <v>99</v>
      </c>
      <c r="D10" s="27"/>
      <c r="E10" s="8">
        <f>SUM('August 2026 - Balance Sheet'!E12)-'August 2026 -AR Aging'!F441</f>
        <v>22228479.960000001</v>
      </c>
      <c r="I10" s="71"/>
      <c r="J10" s="71"/>
    </row>
    <row r="11" spans="1:10" x14ac:dyDescent="0.3">
      <c r="A11" s="27"/>
      <c r="B11" s="7"/>
      <c r="C11" s="27" t="s">
        <v>157</v>
      </c>
      <c r="D11" s="27"/>
      <c r="E11" s="8">
        <f>SUM('August 2026 - Balance Sheet'!E13)</f>
        <v>337927.71</v>
      </c>
    </row>
    <row r="12" spans="1:10" x14ac:dyDescent="0.3">
      <c r="A12" s="27"/>
      <c r="B12" s="7"/>
      <c r="C12" s="27" t="s">
        <v>105</v>
      </c>
      <c r="D12" s="27"/>
      <c r="E12" s="3">
        <f>SUM('August 2026 - Balance Sheet'!E41:E45,'August 2026 - Balance Sheet'!E15)</f>
        <v>765744.18</v>
      </c>
      <c r="F12" s="37"/>
    </row>
    <row r="13" spans="1:10" x14ac:dyDescent="0.3">
      <c r="A13" s="27"/>
      <c r="B13" s="7"/>
      <c r="C13" s="27" t="s">
        <v>154</v>
      </c>
      <c r="D13" s="27"/>
      <c r="E13" s="45">
        <f>SUM('August 2026 - Balance Sheet'!E14+'August 2026 - Over Under Report'!P85+'August 2026 -AR Aging'!F441)</f>
        <v>-4021061.6699999985</v>
      </c>
      <c r="F13" s="37"/>
      <c r="G13" s="36"/>
    </row>
    <row r="14" spans="1:10" x14ac:dyDescent="0.3">
      <c r="A14" s="27"/>
      <c r="B14" s="27"/>
      <c r="C14" s="27"/>
      <c r="D14" s="27"/>
      <c r="E14" s="27"/>
      <c r="F14" s="27"/>
      <c r="G14" s="27"/>
    </row>
    <row r="15" spans="1:10" x14ac:dyDescent="0.3">
      <c r="A15" s="27"/>
      <c r="B15" s="27"/>
      <c r="C15" s="27"/>
      <c r="D15" s="27"/>
      <c r="E15" s="27"/>
      <c r="F15" s="27"/>
    </row>
    <row r="16" spans="1:10" x14ac:dyDescent="0.3">
      <c r="A16" s="27"/>
      <c r="B16" s="27"/>
      <c r="C16" s="26" t="s">
        <v>46</v>
      </c>
      <c r="D16" s="27"/>
      <c r="E16" s="39">
        <f>SUM(E9:E15)</f>
        <v>29367128.840000004</v>
      </c>
      <c r="G16" s="97"/>
    </row>
    <row r="17" spans="1:7" x14ac:dyDescent="0.3">
      <c r="A17" s="27"/>
      <c r="B17" s="27"/>
      <c r="C17" s="27"/>
      <c r="D17" s="27"/>
      <c r="E17" s="27"/>
      <c r="F17" s="27"/>
    </row>
    <row r="18" spans="1:7" x14ac:dyDescent="0.3">
      <c r="B18" s="26" t="s">
        <v>100</v>
      </c>
      <c r="C18" s="27"/>
      <c r="D18" s="27"/>
      <c r="E18" s="27"/>
      <c r="F18" s="27"/>
    </row>
    <row r="19" spans="1:7" x14ac:dyDescent="0.3">
      <c r="A19" s="27"/>
      <c r="B19" s="27"/>
      <c r="C19" s="27"/>
      <c r="D19" s="27"/>
      <c r="E19" s="27"/>
      <c r="F19" s="27"/>
    </row>
    <row r="20" spans="1:7" x14ac:dyDescent="0.3">
      <c r="A20" s="27"/>
      <c r="B20" s="7" t="s">
        <v>72</v>
      </c>
      <c r="C20" s="27" t="s">
        <v>102</v>
      </c>
      <c r="D20" s="27"/>
      <c r="E20" s="3">
        <f>SUM('August 2026 - Balance Sheet'!E21)</f>
        <v>100000</v>
      </c>
      <c r="F20" s="27"/>
    </row>
    <row r="21" spans="1:7" x14ac:dyDescent="0.3">
      <c r="A21" s="27"/>
      <c r="B21" s="7" t="s">
        <v>72</v>
      </c>
      <c r="C21" s="27" t="s">
        <v>103</v>
      </c>
      <c r="D21" s="27"/>
      <c r="E21" s="3">
        <f>SUM('August 2026 - Balance Sheet'!E22)</f>
        <v>3772.74</v>
      </c>
      <c r="F21" s="27"/>
    </row>
    <row r="22" spans="1:7" x14ac:dyDescent="0.3">
      <c r="A22" s="27"/>
      <c r="B22" s="7" t="s">
        <v>72</v>
      </c>
      <c r="C22" s="27" t="s">
        <v>104</v>
      </c>
      <c r="D22" s="27"/>
      <c r="E22" s="58">
        <f>SUM('August 2026 - Balance Sheet'!E24)</f>
        <v>62228.65</v>
      </c>
      <c r="F22" s="27"/>
    </row>
    <row r="23" spans="1:7" x14ac:dyDescent="0.3">
      <c r="C23" s="38" t="s">
        <v>101</v>
      </c>
      <c r="D23" s="27"/>
      <c r="E23" s="46">
        <f>SUM('August 2026 - Balance Sheet'!E30,'August 2026 - Balance Sheet'!E31,'August 2026 - Balance Sheet'!E33)</f>
        <v>-45959.8</v>
      </c>
      <c r="F23" s="27"/>
    </row>
    <row r="24" spans="1:7" x14ac:dyDescent="0.3">
      <c r="A24" s="27"/>
      <c r="B24" s="27"/>
      <c r="C24" s="27"/>
      <c r="D24" s="27"/>
      <c r="E24" s="27"/>
      <c r="F24" s="27"/>
    </row>
    <row r="25" spans="1:7" x14ac:dyDescent="0.3">
      <c r="A25" s="27"/>
      <c r="B25" s="27"/>
      <c r="C25" s="7" t="s">
        <v>119</v>
      </c>
      <c r="D25" s="27"/>
      <c r="E25" s="40">
        <f>SUM(E20:E24)</f>
        <v>120041.59000000001</v>
      </c>
    </row>
    <row r="26" spans="1:7" x14ac:dyDescent="0.3">
      <c r="A26" s="27"/>
      <c r="B26" s="27"/>
      <c r="C26" s="27"/>
      <c r="D26" s="27"/>
      <c r="E26" s="27"/>
      <c r="F26" s="27"/>
    </row>
    <row r="27" spans="1:7" x14ac:dyDescent="0.3">
      <c r="B27" s="26" t="s">
        <v>52</v>
      </c>
      <c r="C27" s="27"/>
      <c r="D27" s="27"/>
      <c r="E27" s="27"/>
      <c r="F27" s="27"/>
    </row>
    <row r="28" spans="1:7" x14ac:dyDescent="0.3">
      <c r="A28" s="27"/>
      <c r="B28" s="27"/>
      <c r="C28" s="27" t="s">
        <v>106</v>
      </c>
      <c r="D28" s="27"/>
      <c r="E28" s="43">
        <f>SUM('August 2026 - Balance Sheet'!E23,'August 2026 - Balance Sheet'!E32)</f>
        <v>36000</v>
      </c>
      <c r="F28" s="27"/>
    </row>
    <row r="29" spans="1:7" x14ac:dyDescent="0.3">
      <c r="A29" s="27"/>
      <c r="B29" s="7" t="s">
        <v>72</v>
      </c>
      <c r="C29" s="27"/>
      <c r="D29" s="27"/>
      <c r="E29" s="3" t="s">
        <v>72</v>
      </c>
      <c r="F29" s="27"/>
    </row>
    <row r="30" spans="1:7" x14ac:dyDescent="0.3">
      <c r="A30" s="27"/>
      <c r="B30" s="27"/>
      <c r="C30" s="27"/>
      <c r="D30" s="27"/>
      <c r="E30" s="27"/>
      <c r="F30" s="27"/>
    </row>
    <row r="31" spans="1:7" x14ac:dyDescent="0.3">
      <c r="A31" s="27"/>
      <c r="B31" s="27"/>
      <c r="C31" s="27"/>
      <c r="D31" s="26" t="s">
        <v>54</v>
      </c>
      <c r="E31" s="39">
        <f>SUM(E16,E25,E28)</f>
        <v>29523170.430000003</v>
      </c>
      <c r="G31" s="97"/>
    </row>
    <row r="32" spans="1:7" x14ac:dyDescent="0.3">
      <c r="A32" s="27"/>
      <c r="B32" s="27"/>
      <c r="C32" s="27"/>
      <c r="D32" s="27"/>
      <c r="E32" s="27"/>
      <c r="F32" s="27"/>
    </row>
    <row r="33" spans="1:7" x14ac:dyDescent="0.3">
      <c r="A33" s="26" t="s">
        <v>55</v>
      </c>
      <c r="B33" s="27"/>
      <c r="C33" s="27"/>
      <c r="D33" s="27"/>
      <c r="E33" s="27"/>
      <c r="F33" s="27"/>
    </row>
    <row r="34" spans="1:7" x14ac:dyDescent="0.3">
      <c r="A34" s="27"/>
      <c r="B34" s="27"/>
      <c r="C34" s="27"/>
      <c r="D34" s="27"/>
      <c r="E34" s="27"/>
      <c r="F34" s="27"/>
    </row>
    <row r="35" spans="1:7" x14ac:dyDescent="0.3">
      <c r="B35" s="26" t="s">
        <v>56</v>
      </c>
      <c r="C35" s="27"/>
      <c r="D35" s="27"/>
      <c r="E35" s="27"/>
      <c r="F35" s="27"/>
    </row>
    <row r="36" spans="1:7" x14ac:dyDescent="0.3">
      <c r="A36" s="27"/>
      <c r="B36" s="27"/>
      <c r="C36" s="27"/>
      <c r="D36" s="27"/>
      <c r="E36" s="27"/>
      <c r="F36" s="27"/>
    </row>
    <row r="37" spans="1:7" x14ac:dyDescent="0.3">
      <c r="A37" s="27"/>
      <c r="B37" s="1" t="s">
        <v>72</v>
      </c>
      <c r="C37" s="27" t="s">
        <v>109</v>
      </c>
      <c r="D37" s="27"/>
      <c r="E37" s="3">
        <f>SUM('August 2026 - Balance Sheet'!E56)</f>
        <v>3871881.57</v>
      </c>
      <c r="F37" s="27"/>
    </row>
    <row r="38" spans="1:7" x14ac:dyDescent="0.3">
      <c r="A38" s="27"/>
      <c r="B38" s="1"/>
      <c r="C38" s="27" t="s">
        <v>110</v>
      </c>
      <c r="D38" s="27"/>
      <c r="E38" s="3">
        <f>SUM('August 2026 - Balance Sheet'!E59:E67)</f>
        <v>11423882.119999999</v>
      </c>
      <c r="F38" s="27"/>
    </row>
    <row r="39" spans="1:7" x14ac:dyDescent="0.3">
      <c r="A39" s="27"/>
      <c r="B39" s="1" t="s">
        <v>72</v>
      </c>
      <c r="C39" s="27" t="s">
        <v>107</v>
      </c>
      <c r="D39" s="27"/>
      <c r="E39" s="3">
        <f>SUM('August 2026 - Balance Sheet'!E68)</f>
        <v>0</v>
      </c>
      <c r="F39" s="27"/>
    </row>
    <row r="40" spans="1:7" x14ac:dyDescent="0.3">
      <c r="A40" s="27"/>
      <c r="B40" s="1" t="s">
        <v>72</v>
      </c>
      <c r="C40" s="27" t="s">
        <v>108</v>
      </c>
      <c r="D40" s="27"/>
      <c r="E40" s="3">
        <f>'August 2026 - Balance Sheet'!E58</f>
        <v>164495.96</v>
      </c>
      <c r="F40" s="27"/>
    </row>
    <row r="41" spans="1:7" x14ac:dyDescent="0.3">
      <c r="A41" s="27"/>
      <c r="B41" s="27"/>
      <c r="C41" s="27" t="s">
        <v>155</v>
      </c>
      <c r="D41" s="27"/>
      <c r="E41" s="58">
        <f>SUM('August 2026 - Balance Sheet'!E57+'August 2026 - Over Under Report'!P85)</f>
        <v>-7188881.1899999985</v>
      </c>
      <c r="F41" s="27"/>
      <c r="G41" s="27"/>
    </row>
    <row r="42" spans="1:7" x14ac:dyDescent="0.3">
      <c r="A42" s="27"/>
      <c r="B42" s="27"/>
      <c r="C42" s="7"/>
      <c r="D42" s="27"/>
      <c r="E42" s="27"/>
      <c r="G42" s="7"/>
    </row>
    <row r="43" spans="1:7" x14ac:dyDescent="0.3">
      <c r="A43" s="27"/>
      <c r="B43" s="27"/>
      <c r="C43" s="7"/>
      <c r="D43" s="27"/>
      <c r="E43" s="27"/>
    </row>
    <row r="44" spans="1:7" x14ac:dyDescent="0.3">
      <c r="A44" s="27"/>
      <c r="B44" s="27"/>
      <c r="C44" s="42" t="s">
        <v>111</v>
      </c>
      <c r="D44" s="27"/>
      <c r="E44" s="40">
        <f>SUM(E37:E43)</f>
        <v>8271378.4600000018</v>
      </c>
      <c r="F44" s="27"/>
    </row>
    <row r="45" spans="1:7" x14ac:dyDescent="0.3">
      <c r="A45" s="27"/>
      <c r="B45" s="27"/>
      <c r="C45" s="27"/>
      <c r="D45" s="27"/>
      <c r="E45" s="40"/>
      <c r="F45" s="27"/>
    </row>
    <row r="46" spans="1:7" x14ac:dyDescent="0.3">
      <c r="B46" s="26" t="s">
        <v>112</v>
      </c>
      <c r="C46" s="27"/>
      <c r="D46" s="27"/>
      <c r="E46" s="44">
        <f>SUM('August 2026 - Balance Sheet'!E74:E77)</f>
        <v>1044085.03</v>
      </c>
      <c r="F46" s="27"/>
    </row>
    <row r="47" spans="1:7" x14ac:dyDescent="0.3">
      <c r="A47" s="27"/>
      <c r="B47" s="27"/>
      <c r="C47" s="27"/>
      <c r="D47" s="27"/>
      <c r="E47" s="27"/>
      <c r="F47" s="27"/>
    </row>
    <row r="48" spans="1:7" x14ac:dyDescent="0.3">
      <c r="A48" s="27"/>
      <c r="B48" s="27"/>
      <c r="C48" s="26" t="s">
        <v>113</v>
      </c>
      <c r="E48" s="40">
        <f>SUM(E44,E46)</f>
        <v>9315463.4900000021</v>
      </c>
    </row>
    <row r="49" spans="1:9" x14ac:dyDescent="0.3">
      <c r="A49" s="27"/>
      <c r="B49" s="27"/>
      <c r="C49" s="27"/>
      <c r="D49" s="27"/>
      <c r="E49" s="27"/>
      <c r="F49" s="27"/>
    </row>
    <row r="50" spans="1:9" x14ac:dyDescent="0.3">
      <c r="B50" s="26" t="s">
        <v>114</v>
      </c>
      <c r="C50" s="27"/>
      <c r="D50" s="27"/>
      <c r="E50" s="27"/>
      <c r="F50" s="27"/>
    </row>
    <row r="51" spans="1:9" x14ac:dyDescent="0.3">
      <c r="A51" s="27"/>
      <c r="B51" s="27"/>
      <c r="C51" s="27" t="s">
        <v>115</v>
      </c>
      <c r="D51" s="27"/>
      <c r="E51" s="36">
        <f>SUM('August 2026 - Balance Sheet'!E87:E91)</f>
        <v>1000</v>
      </c>
      <c r="F51" s="27"/>
    </row>
    <row r="52" spans="1:9" x14ac:dyDescent="0.3">
      <c r="A52" s="27"/>
      <c r="B52" s="27"/>
      <c r="C52" s="27" t="s">
        <v>116</v>
      </c>
      <c r="D52" s="27"/>
      <c r="E52" s="36">
        <f>SUM('August 2026 - Balance Sheet'!E92)</f>
        <v>0</v>
      </c>
      <c r="F52" s="27"/>
    </row>
    <row r="53" spans="1:9" x14ac:dyDescent="0.3">
      <c r="A53" s="27"/>
      <c r="B53" s="27"/>
      <c r="C53" s="27" t="s">
        <v>117</v>
      </c>
      <c r="D53" s="27"/>
      <c r="E53" s="43">
        <f>SUM('August 2026 - Balance Sheet'!E93,'August 2026 - Balance Sheet'!E99)+'August 2026 - Inc. Stmt- ALL'!G130</f>
        <v>20206706.940000001</v>
      </c>
      <c r="F53" s="27"/>
    </row>
    <row r="54" spans="1:9" x14ac:dyDescent="0.3">
      <c r="A54" s="27"/>
      <c r="B54" s="27"/>
      <c r="C54" s="26" t="s">
        <v>118</v>
      </c>
      <c r="E54" s="41">
        <f>SUM(E51:E53)</f>
        <v>20207706.940000001</v>
      </c>
      <c r="F54" s="40" t="s">
        <v>72</v>
      </c>
    </row>
    <row r="55" spans="1:9" x14ac:dyDescent="0.3">
      <c r="A55" s="27"/>
      <c r="B55" s="27"/>
      <c r="C55" s="27"/>
      <c r="D55" s="27"/>
      <c r="E55" s="27"/>
      <c r="F55" s="27"/>
    </row>
    <row r="56" spans="1:9" x14ac:dyDescent="0.3">
      <c r="A56" s="27"/>
      <c r="B56" s="27"/>
      <c r="D56" s="33" t="s">
        <v>120</v>
      </c>
      <c r="E56" s="39">
        <f>SUM(E48,E54)</f>
        <v>29523170.430000003</v>
      </c>
      <c r="G56" s="97"/>
      <c r="I56" s="97"/>
    </row>
    <row r="60" spans="1:9" x14ac:dyDescent="0.3">
      <c r="E60" s="97">
        <f>E56-E31</f>
        <v>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4:F4"/>
    <mergeCell ref="A5:F5"/>
  </mergeCells>
  <printOptions horizontalCentered="1"/>
  <pageMargins left="0.2" right="0.2" top="0.25" bottom="0.25" header="0" footer="0.05"/>
  <pageSetup scale="91" orientation="portrait" r:id="rId1"/>
  <rowBreaks count="1" manualBreakCount="1">
    <brk id="32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J41"/>
  <sheetViews>
    <sheetView zoomScale="80" zoomScaleNormal="80" workbookViewId="0">
      <selection activeCell="H16" sqref="H16"/>
    </sheetView>
  </sheetViews>
  <sheetFormatPr defaultColWidth="9.109375" defaultRowHeight="14.4" x14ac:dyDescent="0.3"/>
  <cols>
    <col min="1" max="1" width="6.33203125" customWidth="1"/>
    <col min="2" max="2" width="49.5546875" customWidth="1"/>
    <col min="3" max="3" width="16.33203125" style="52" bestFit="1" customWidth="1"/>
    <col min="4" max="4" width="16.33203125" style="52" hidden="1" customWidth="1"/>
    <col min="5" max="5" width="15" hidden="1" customWidth="1"/>
    <col min="6" max="7" width="13.88671875" hidden="1" customWidth="1"/>
    <col min="9" max="9" width="13.33203125" bestFit="1" customWidth="1"/>
    <col min="10" max="10" width="10.33203125" bestFit="1" customWidth="1"/>
  </cols>
  <sheetData>
    <row r="3" spans="1:9" ht="18" x14ac:dyDescent="0.35">
      <c r="A3" s="21"/>
      <c r="B3" s="20"/>
    </row>
    <row r="4" spans="1:9" ht="12.6" customHeight="1" x14ac:dyDescent="0.35">
      <c r="A4" s="21"/>
      <c r="B4" s="20"/>
    </row>
    <row r="5" spans="1:9" ht="12.6" customHeight="1" x14ac:dyDescent="0.35">
      <c r="A5" s="21"/>
      <c r="B5" s="20"/>
    </row>
    <row r="6" spans="1:9" ht="12.6" customHeight="1" x14ac:dyDescent="0.35">
      <c r="A6" s="21"/>
      <c r="B6" s="20"/>
    </row>
    <row r="7" spans="1:9" ht="15.6" x14ac:dyDescent="0.3">
      <c r="A7" s="124" t="s">
        <v>241</v>
      </c>
      <c r="B7" s="124"/>
      <c r="C7" s="124"/>
      <c r="D7" s="85"/>
    </row>
    <row r="8" spans="1:9" ht="15.6" x14ac:dyDescent="0.3">
      <c r="A8" s="126" t="s">
        <v>593</v>
      </c>
      <c r="B8" s="126"/>
      <c r="C8" s="126"/>
      <c r="D8" s="35"/>
    </row>
    <row r="9" spans="1:9" ht="15.6" x14ac:dyDescent="0.3">
      <c r="A9" s="35"/>
      <c r="B9" s="35"/>
      <c r="C9" s="53"/>
      <c r="D9" s="53"/>
    </row>
    <row r="10" spans="1:9" s="12" customFormat="1" x14ac:dyDescent="0.3">
      <c r="C10" s="57">
        <v>2026</v>
      </c>
      <c r="D10" s="57">
        <v>2019</v>
      </c>
      <c r="E10" s="72">
        <v>2018</v>
      </c>
      <c r="F10" s="72">
        <v>2017</v>
      </c>
      <c r="G10" s="72">
        <v>2016</v>
      </c>
    </row>
    <row r="11" spans="1:9" x14ac:dyDescent="0.3">
      <c r="E11" s="73"/>
      <c r="F11" s="73"/>
      <c r="G11" s="73"/>
    </row>
    <row r="12" spans="1:9" x14ac:dyDescent="0.3">
      <c r="A12" s="2" t="s">
        <v>121</v>
      </c>
      <c r="C12" s="52">
        <f>SUM('August 2026 - Inc. Stmt- ALL'!G17:G18)</f>
        <v>64039629.079999998</v>
      </c>
      <c r="D12" s="52">
        <v>43843514.149999999</v>
      </c>
      <c r="E12" s="73">
        <v>50727670.25</v>
      </c>
      <c r="F12" s="73">
        <v>33398813.899999999</v>
      </c>
      <c r="G12" s="73">
        <v>19662807.240000002</v>
      </c>
      <c r="I12" s="6"/>
    </row>
    <row r="13" spans="1:9" x14ac:dyDescent="0.3">
      <c r="E13" s="73"/>
      <c r="F13" s="73"/>
      <c r="G13" s="73"/>
    </row>
    <row r="14" spans="1:9" x14ac:dyDescent="0.3">
      <c r="A14" s="2" t="s">
        <v>122</v>
      </c>
      <c r="C14" s="49">
        <f>SUM('August 2026 - Inc. Stmt- ALL'!G35)</f>
        <v>52485704.859999999</v>
      </c>
      <c r="D14" s="49">
        <v>40056193.899999999</v>
      </c>
      <c r="E14" s="74">
        <v>43612053.340000004</v>
      </c>
      <c r="F14" s="74">
        <v>29104212.070000004</v>
      </c>
      <c r="G14" s="74">
        <v>15862449.710000001</v>
      </c>
      <c r="I14" s="6"/>
    </row>
    <row r="15" spans="1:9" x14ac:dyDescent="0.3">
      <c r="A15" s="2"/>
      <c r="E15" s="73"/>
      <c r="F15" s="73"/>
      <c r="G15" s="73"/>
    </row>
    <row r="16" spans="1:9" x14ac:dyDescent="0.3">
      <c r="A16" s="2" t="s">
        <v>123</v>
      </c>
      <c r="B16" s="15"/>
      <c r="C16" s="52">
        <f>SUM(C12-C14)</f>
        <v>11553924.219999999</v>
      </c>
      <c r="D16" s="52">
        <v>3787320.25</v>
      </c>
      <c r="E16" s="73">
        <v>7115616.9099999964</v>
      </c>
      <c r="F16" s="73">
        <v>4294601.8299999945</v>
      </c>
      <c r="G16" s="73">
        <v>3800357.5300000012</v>
      </c>
      <c r="I16" s="6"/>
    </row>
    <row r="17" spans="1:10" x14ac:dyDescent="0.3">
      <c r="A17" s="2"/>
      <c r="E17" s="73"/>
      <c r="F17" s="73"/>
      <c r="G17" s="73"/>
    </row>
    <row r="18" spans="1:10" x14ac:dyDescent="0.3">
      <c r="A18" s="1" t="s">
        <v>124</v>
      </c>
      <c r="C18" s="49">
        <f>'August 2026 - Inc. Stmt- ALL'!G96+'August 2026 - Inc. Stmt- ALL'!G86-'August 2026 - Inc. Stmt- ALL'!G71+'August 2026 - Inc. Stmt- ALL'!G125+'August 2026 - Inc. Stmt- ALL'!G128</f>
        <v>2041561.7299999997</v>
      </c>
      <c r="D18" s="49">
        <v>1497446.0000000002</v>
      </c>
      <c r="E18" s="74">
        <v>1549793.2899999998</v>
      </c>
      <c r="F18" s="74">
        <v>2457828.1649999982</v>
      </c>
      <c r="G18" s="74">
        <v>2242522.77</v>
      </c>
      <c r="I18" s="6"/>
      <c r="J18" s="71"/>
    </row>
    <row r="19" spans="1:10" x14ac:dyDescent="0.3">
      <c r="A19" s="1"/>
      <c r="E19" s="73"/>
      <c r="F19" s="73"/>
      <c r="G19" s="73"/>
    </row>
    <row r="20" spans="1:10" x14ac:dyDescent="0.3">
      <c r="A20" s="2" t="s">
        <v>125</v>
      </c>
      <c r="B20" s="15"/>
      <c r="C20" s="52">
        <f>SUM(C16-C18)</f>
        <v>9512362.4899999984</v>
      </c>
      <c r="D20" s="52">
        <v>2289874.25</v>
      </c>
      <c r="E20" s="73">
        <v>5565823.6199999964</v>
      </c>
      <c r="F20" s="73">
        <v>1836773.6649999963</v>
      </c>
      <c r="G20" s="73">
        <v>1557834.7600000012</v>
      </c>
      <c r="I20" s="6"/>
      <c r="J20" s="71"/>
    </row>
    <row r="21" spans="1:10" x14ac:dyDescent="0.3">
      <c r="B21" s="15"/>
      <c r="E21" s="73"/>
      <c r="F21" s="73"/>
      <c r="G21" s="73"/>
    </row>
    <row r="22" spans="1:10" x14ac:dyDescent="0.3">
      <c r="A22" s="1" t="s">
        <v>126</v>
      </c>
      <c r="B22" s="15"/>
      <c r="E22" s="73"/>
      <c r="F22" s="73"/>
      <c r="G22" s="73"/>
    </row>
    <row r="23" spans="1:10" x14ac:dyDescent="0.3">
      <c r="B23" s="1" t="s">
        <v>27</v>
      </c>
      <c r="C23" s="47">
        <f>SUM('August 2026 - Inc. Stmt- ALL'!G113)</f>
        <v>89971.27</v>
      </c>
      <c r="D23" s="47">
        <v>0</v>
      </c>
      <c r="E23" s="75">
        <v>0</v>
      </c>
      <c r="F23" s="75">
        <v>0</v>
      </c>
      <c r="G23" s="75">
        <v>0</v>
      </c>
    </row>
    <row r="24" spans="1:10" x14ac:dyDescent="0.3">
      <c r="B24" s="1" t="s">
        <v>127</v>
      </c>
      <c r="C24" s="47">
        <f>'August 2026 - Inc. Stmt- ALL'!G19+'August 2026 - Inc. Stmt- ALL'!G110+'August 2026 - Inc. Stmt- ALL'!G111+'August 2026 - Inc. Stmt- ALL'!G112+'August 2026 - Inc. Stmt- ALL'!G114</f>
        <v>188235.87000000002</v>
      </c>
      <c r="D24" s="47">
        <v>619186.77999999991</v>
      </c>
      <c r="E24" s="75">
        <v>40284.15</v>
      </c>
      <c r="F24" s="75">
        <v>29891.489999999998</v>
      </c>
      <c r="G24" s="75">
        <v>53610.93</v>
      </c>
      <c r="I24" s="6"/>
    </row>
    <row r="25" spans="1:10" x14ac:dyDescent="0.3">
      <c r="B25" s="1" t="s">
        <v>17</v>
      </c>
      <c r="C25" s="48">
        <f>SUM('August 2026 - Inc. Stmt- ALL'!G71)*-1</f>
        <v>-44085.42</v>
      </c>
      <c r="D25" s="48">
        <v>-121829.34999999999</v>
      </c>
      <c r="E25" s="76">
        <v>-121542.34</v>
      </c>
      <c r="F25" s="76">
        <v>-76540.679999999993</v>
      </c>
      <c r="G25" s="76">
        <v>-76540.679999999993</v>
      </c>
    </row>
    <row r="26" spans="1:10" x14ac:dyDescent="0.3">
      <c r="E26" s="73"/>
      <c r="F26" s="73"/>
      <c r="G26" s="73"/>
    </row>
    <row r="27" spans="1:10" x14ac:dyDescent="0.3">
      <c r="B27" s="1" t="s">
        <v>130</v>
      </c>
      <c r="C27" s="49">
        <f>SUM(C23:C25)</f>
        <v>234121.72000000003</v>
      </c>
      <c r="D27" s="49">
        <v>497357.42999999993</v>
      </c>
      <c r="E27" s="74">
        <v>-81258.19</v>
      </c>
      <c r="F27" s="74">
        <v>-46649.189999999995</v>
      </c>
      <c r="G27" s="74">
        <v>-22929.749999999993</v>
      </c>
    </row>
    <row r="28" spans="1:10" x14ac:dyDescent="0.3">
      <c r="E28" s="73"/>
      <c r="F28" s="73"/>
      <c r="G28" s="73"/>
    </row>
    <row r="29" spans="1:10" ht="15" hidden="1" customHeight="1" x14ac:dyDescent="0.3">
      <c r="B29" s="2" t="s">
        <v>29</v>
      </c>
      <c r="C29" s="50" t="e">
        <f>+#REF!+C27-#REF!-#REF!-#REF!</f>
        <v>#REF!</v>
      </c>
      <c r="D29" s="50" t="e">
        <v>#REF!</v>
      </c>
      <c r="E29" s="77" t="e">
        <v>#REF!</v>
      </c>
      <c r="F29" s="77" t="e">
        <v>#REF!</v>
      </c>
      <c r="G29" s="77" t="e">
        <v>#REF!</v>
      </c>
    </row>
    <row r="30" spans="1:10" ht="15" hidden="1" customHeight="1" x14ac:dyDescent="0.3">
      <c r="E30" s="73"/>
      <c r="F30" s="73"/>
      <c r="G30" s="73"/>
    </row>
    <row r="31" spans="1:10" x14ac:dyDescent="0.3">
      <c r="B31" s="2" t="s">
        <v>30</v>
      </c>
      <c r="C31" s="51">
        <f>SUM(C20,C27)</f>
        <v>9746484.209999999</v>
      </c>
      <c r="D31" s="51">
        <v>2787231.6799999997</v>
      </c>
      <c r="E31" s="78">
        <v>5484565.429999996</v>
      </c>
      <c r="F31" s="78">
        <v>1790124.4749999964</v>
      </c>
      <c r="G31" s="78">
        <v>1534905.0100000012</v>
      </c>
      <c r="I31" s="6"/>
      <c r="J31" s="71"/>
    </row>
    <row r="32" spans="1:10" x14ac:dyDescent="0.3">
      <c r="E32" s="73"/>
      <c r="F32" s="73"/>
      <c r="G32" s="73"/>
    </row>
    <row r="33" spans="2:9" x14ac:dyDescent="0.3">
      <c r="B33" t="s">
        <v>128</v>
      </c>
      <c r="C33" s="47">
        <f>SUM('August 2026 - Balance Sheet'!E93)</f>
        <v>11273708.880000001</v>
      </c>
      <c r="D33" s="47">
        <v>3711295.27</v>
      </c>
      <c r="E33" s="75">
        <v>1896859.72</v>
      </c>
      <c r="F33" s="75">
        <v>2676967.48</v>
      </c>
      <c r="G33" s="75">
        <v>1776331.22</v>
      </c>
      <c r="I33" s="71"/>
    </row>
    <row r="34" spans="2:9" x14ac:dyDescent="0.3">
      <c r="E34" s="73"/>
      <c r="F34" s="73"/>
      <c r="G34" s="73"/>
    </row>
    <row r="35" spans="2:9" x14ac:dyDescent="0.3">
      <c r="B35" t="s">
        <v>129</v>
      </c>
      <c r="C35" s="49">
        <f>-'August 2026 - Balance Sheet'!E101</f>
        <v>813486.15</v>
      </c>
      <c r="D35" s="49">
        <v>893096.63</v>
      </c>
      <c r="E35" s="74">
        <v>3670129.88</v>
      </c>
      <c r="F35" s="74">
        <v>782904.1099999994</v>
      </c>
      <c r="G35" s="74">
        <v>634268.75</v>
      </c>
    </row>
    <row r="36" spans="2:9" x14ac:dyDescent="0.3">
      <c r="E36" s="73"/>
      <c r="F36" s="73"/>
      <c r="G36" s="73"/>
    </row>
    <row r="37" spans="2:9" x14ac:dyDescent="0.3">
      <c r="E37" s="73"/>
      <c r="F37" s="73"/>
      <c r="G37" s="73"/>
    </row>
    <row r="38" spans="2:9" ht="15" thickBot="1" x14ac:dyDescent="0.35">
      <c r="B38" t="s">
        <v>131</v>
      </c>
      <c r="C38" s="82">
        <f>SUM(C31,C33)-C35</f>
        <v>20206706.940000001</v>
      </c>
      <c r="D38" s="82">
        <v>5605430.3199999994</v>
      </c>
      <c r="E38" s="79">
        <v>3711295.2699999958</v>
      </c>
      <c r="F38" s="79">
        <v>3684187.8449999969</v>
      </c>
      <c r="G38" s="79">
        <v>2676967.4800000014</v>
      </c>
      <c r="I38" s="71"/>
    </row>
    <row r="39" spans="2:9" ht="15" thickTop="1" x14ac:dyDescent="0.3"/>
    <row r="40" spans="2:9" x14ac:dyDescent="0.3">
      <c r="F40" s="86">
        <f>SUM(F38-E33)</f>
        <v>1787328.124999997</v>
      </c>
    </row>
    <row r="41" spans="2:9" x14ac:dyDescent="0.3">
      <c r="F41" s="87" t="s">
        <v>156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7:C7"/>
    <mergeCell ref="A8:C8"/>
  </mergeCells>
  <printOptions horizontalCentered="1"/>
  <pageMargins left="0" right="0" top="0.5" bottom="0.65" header="0.3" footer="0.25"/>
  <pageSetup fitToHeight="4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110"/>
  <sheetViews>
    <sheetView zoomScaleNormal="100" workbookViewId="0">
      <pane ySplit="5" topLeftCell="A6" activePane="bottomLeft" state="frozen"/>
      <selection activeCell="B74" sqref="B74"/>
      <selection pane="bottomLeft" activeCell="H29" sqref="H29"/>
    </sheetView>
  </sheetViews>
  <sheetFormatPr defaultColWidth="9.109375" defaultRowHeight="14.4" x14ac:dyDescent="0.3"/>
  <cols>
    <col min="2" max="2" width="6.88671875" customWidth="1"/>
    <col min="3" max="3" width="32.5546875" customWidth="1"/>
    <col min="4" max="4" width="15.6640625" customWidth="1"/>
    <col min="5" max="5" width="17.33203125" bestFit="1" customWidth="1"/>
    <col min="6" max="6" width="19.88671875" bestFit="1" customWidth="1"/>
    <col min="8" max="8" width="13.88671875" bestFit="1" customWidth="1"/>
    <col min="9" max="9" width="13.5546875" bestFit="1" customWidth="1"/>
    <col min="11" max="11" width="13.109375" bestFit="1" customWidth="1"/>
    <col min="13" max="13" width="10.6640625" bestFit="1" customWidth="1"/>
    <col min="14" max="14" width="13.5546875" bestFit="1" customWidth="1"/>
    <col min="15" max="15" width="10.5546875" bestFit="1" customWidth="1"/>
    <col min="20" max="20" width="11" bestFit="1" customWidth="1"/>
  </cols>
  <sheetData>
    <row r="3" spans="1:11" x14ac:dyDescent="0.3">
      <c r="A3" s="21"/>
      <c r="B3" s="22"/>
    </row>
    <row r="4" spans="1:11" ht="30.6" customHeight="1" x14ac:dyDescent="0.3">
      <c r="A4" s="124" t="s">
        <v>43</v>
      </c>
      <c r="B4" s="124"/>
      <c r="C4" s="124"/>
      <c r="D4" s="124"/>
      <c r="E4" s="124"/>
      <c r="F4" s="124"/>
    </row>
    <row r="5" spans="1:11" x14ac:dyDescent="0.3">
      <c r="A5" s="125">
        <v>46265</v>
      </c>
      <c r="B5" s="125"/>
      <c r="C5" s="125"/>
      <c r="D5" s="125"/>
      <c r="E5" s="125"/>
      <c r="F5" s="125"/>
    </row>
    <row r="7" spans="1:11" x14ac:dyDescent="0.3">
      <c r="A7" s="26" t="s">
        <v>44</v>
      </c>
      <c r="B7" s="27"/>
      <c r="C7" s="27"/>
      <c r="D7" s="27"/>
      <c r="E7" s="27"/>
      <c r="F7" s="27"/>
    </row>
    <row r="8" spans="1:11" x14ac:dyDescent="0.3">
      <c r="A8" s="27"/>
      <c r="B8" s="27"/>
      <c r="C8" s="27"/>
      <c r="D8" s="27"/>
      <c r="E8" s="27"/>
      <c r="F8" s="27"/>
    </row>
    <row r="9" spans="1:11" x14ac:dyDescent="0.3">
      <c r="A9" s="26" t="s">
        <v>45</v>
      </c>
      <c r="B9" s="27"/>
      <c r="C9" s="27"/>
      <c r="D9" s="27"/>
      <c r="E9" s="27"/>
      <c r="F9" s="27"/>
    </row>
    <row r="10" spans="1:11" x14ac:dyDescent="0.3">
      <c r="A10" s="27"/>
      <c r="B10" s="27"/>
      <c r="C10" s="27"/>
      <c r="D10" s="27"/>
      <c r="E10" s="27"/>
      <c r="F10" s="27"/>
    </row>
    <row r="11" spans="1:11" x14ac:dyDescent="0.3">
      <c r="A11" s="27"/>
      <c r="B11" s="1" t="s">
        <v>232</v>
      </c>
      <c r="C11" s="27"/>
      <c r="D11" s="27"/>
      <c r="E11" s="3">
        <v>10056038.66</v>
      </c>
      <c r="F11" s="27"/>
    </row>
    <row r="12" spans="1:11" x14ac:dyDescent="0.3">
      <c r="A12" s="27"/>
      <c r="B12" s="7" t="s">
        <v>99</v>
      </c>
      <c r="C12" s="27"/>
      <c r="D12" s="27"/>
      <c r="E12" s="3">
        <v>22228479.960000001</v>
      </c>
      <c r="F12" s="27"/>
      <c r="K12">
        <v>11501</v>
      </c>
    </row>
    <row r="13" spans="1:11" x14ac:dyDescent="0.3">
      <c r="A13" s="27"/>
      <c r="B13" s="7" t="s">
        <v>157</v>
      </c>
      <c r="C13" s="27"/>
      <c r="D13" s="27"/>
      <c r="E13" s="3">
        <v>337927.71</v>
      </c>
      <c r="F13" s="27"/>
    </row>
    <row r="14" spans="1:11" x14ac:dyDescent="0.3">
      <c r="A14" s="27"/>
      <c r="B14" s="1" t="s">
        <v>145</v>
      </c>
      <c r="C14" s="27"/>
      <c r="D14" s="27"/>
      <c r="E14" s="3">
        <v>3167819.52</v>
      </c>
      <c r="F14" s="27"/>
    </row>
    <row r="15" spans="1:11" x14ac:dyDescent="0.3">
      <c r="A15" s="27"/>
      <c r="B15" s="7" t="s">
        <v>133</v>
      </c>
      <c r="C15" s="27"/>
      <c r="D15" s="27"/>
      <c r="E15" s="3">
        <v>0</v>
      </c>
      <c r="F15" s="27"/>
    </row>
    <row r="16" spans="1:11" x14ac:dyDescent="0.3">
      <c r="A16" s="27"/>
      <c r="B16" s="27"/>
      <c r="C16" s="27"/>
      <c r="D16" s="27"/>
      <c r="E16" s="27"/>
      <c r="F16" s="27"/>
    </row>
    <row r="17" spans="1:6" x14ac:dyDescent="0.3">
      <c r="A17" s="27"/>
      <c r="B17" s="27"/>
      <c r="C17" s="26" t="s">
        <v>46</v>
      </c>
      <c r="D17" s="27"/>
      <c r="E17" s="27"/>
      <c r="F17" s="28">
        <f>+SUM(E11:E15)</f>
        <v>35790265.850000001</v>
      </c>
    </row>
    <row r="18" spans="1:6" x14ac:dyDescent="0.3">
      <c r="A18" s="27"/>
      <c r="B18" s="27"/>
      <c r="C18" s="27"/>
      <c r="D18" s="27"/>
      <c r="E18" s="27"/>
      <c r="F18" s="27"/>
    </row>
    <row r="19" spans="1:6" x14ac:dyDescent="0.3">
      <c r="A19" s="26" t="s">
        <v>47</v>
      </c>
      <c r="B19" s="27"/>
      <c r="C19" s="27"/>
      <c r="D19" s="27"/>
      <c r="E19" s="27"/>
      <c r="F19" s="27"/>
    </row>
    <row r="20" spans="1:6" x14ac:dyDescent="0.3">
      <c r="A20" s="27"/>
      <c r="B20" s="27"/>
      <c r="C20" s="27"/>
      <c r="D20" s="27"/>
      <c r="E20" s="27"/>
      <c r="F20" s="27"/>
    </row>
    <row r="21" spans="1:6" x14ac:dyDescent="0.3">
      <c r="A21" s="27"/>
      <c r="B21" s="55" t="s">
        <v>102</v>
      </c>
      <c r="C21" s="27"/>
      <c r="D21" s="27"/>
      <c r="E21" s="3">
        <v>100000</v>
      </c>
      <c r="F21" s="27"/>
    </row>
    <row r="22" spans="1:6" x14ac:dyDescent="0.3">
      <c r="A22" s="27"/>
      <c r="B22" s="55" t="s">
        <v>103</v>
      </c>
      <c r="C22" s="27"/>
      <c r="D22" s="27"/>
      <c r="E22" s="3">
        <v>3772.74</v>
      </c>
      <c r="F22" s="27"/>
    </row>
    <row r="23" spans="1:6" x14ac:dyDescent="0.3">
      <c r="A23" s="27"/>
      <c r="B23" s="55" t="s">
        <v>134</v>
      </c>
      <c r="C23" s="27"/>
      <c r="D23" s="27"/>
      <c r="E23" s="3">
        <v>54000</v>
      </c>
      <c r="F23" s="27"/>
    </row>
    <row r="24" spans="1:6" x14ac:dyDescent="0.3">
      <c r="A24" s="27"/>
      <c r="B24" s="55" t="s">
        <v>104</v>
      </c>
      <c r="C24" s="27"/>
      <c r="D24" s="27"/>
      <c r="E24" s="3">
        <v>62228.65</v>
      </c>
      <c r="F24" s="27"/>
    </row>
    <row r="25" spans="1:6" x14ac:dyDescent="0.3">
      <c r="A25" s="27"/>
      <c r="B25" s="27"/>
      <c r="C25" s="27"/>
      <c r="D25" s="27"/>
      <c r="E25" s="27"/>
      <c r="F25" s="27"/>
    </row>
    <row r="26" spans="1:6" x14ac:dyDescent="0.3">
      <c r="A26" s="27"/>
      <c r="B26" s="27"/>
      <c r="C26" s="26" t="s">
        <v>48</v>
      </c>
      <c r="D26" s="27"/>
      <c r="E26" s="40">
        <f>+SUM(E21:E24)</f>
        <v>220001.38999999998</v>
      </c>
      <c r="F26" s="27"/>
    </row>
    <row r="27" spans="1:6" x14ac:dyDescent="0.3">
      <c r="A27" s="27"/>
      <c r="B27" s="27"/>
      <c r="C27" s="27"/>
      <c r="D27" s="27"/>
      <c r="E27" s="27"/>
      <c r="F27" s="27"/>
    </row>
    <row r="28" spans="1:6" x14ac:dyDescent="0.3">
      <c r="A28" s="26" t="s">
        <v>49</v>
      </c>
      <c r="B28" s="27"/>
      <c r="C28" s="27"/>
      <c r="D28" s="27"/>
      <c r="E28" s="27"/>
      <c r="F28" s="27"/>
    </row>
    <row r="29" spans="1:6" x14ac:dyDescent="0.3">
      <c r="A29" s="27"/>
      <c r="B29" s="27"/>
      <c r="C29" s="27"/>
      <c r="D29" s="27"/>
      <c r="E29" s="27"/>
      <c r="F29" s="27"/>
    </row>
    <row r="30" spans="1:6" x14ac:dyDescent="0.3">
      <c r="A30" s="27"/>
      <c r="B30" s="55" t="s">
        <v>135</v>
      </c>
      <c r="C30" s="27"/>
      <c r="D30" s="27"/>
      <c r="E30" s="3">
        <v>-33333.4</v>
      </c>
      <c r="F30" s="27"/>
    </row>
    <row r="31" spans="1:6" x14ac:dyDescent="0.3">
      <c r="A31" s="27"/>
      <c r="B31" s="55" t="s">
        <v>136</v>
      </c>
      <c r="C31" s="27"/>
      <c r="D31" s="27"/>
      <c r="E31" s="3">
        <v>-3772.74</v>
      </c>
      <c r="F31" s="27"/>
    </row>
    <row r="32" spans="1:6" x14ac:dyDescent="0.3">
      <c r="A32" s="27"/>
      <c r="B32" s="55" t="s">
        <v>137</v>
      </c>
      <c r="C32" s="27"/>
      <c r="D32" s="27"/>
      <c r="E32" s="3">
        <v>-18000</v>
      </c>
      <c r="F32" s="27"/>
    </row>
    <row r="33" spans="1:6" x14ac:dyDescent="0.3">
      <c r="A33" s="27"/>
      <c r="B33" s="55" t="s">
        <v>138</v>
      </c>
      <c r="C33" s="27"/>
      <c r="D33" s="27"/>
      <c r="E33" s="3">
        <v>-8853.66</v>
      </c>
      <c r="F33" s="27"/>
    </row>
    <row r="34" spans="1:6" x14ac:dyDescent="0.3">
      <c r="A34" s="27"/>
      <c r="B34" s="27"/>
      <c r="C34" s="27"/>
      <c r="D34" s="27"/>
      <c r="E34" s="27"/>
      <c r="F34" s="27"/>
    </row>
    <row r="35" spans="1:6" x14ac:dyDescent="0.3">
      <c r="A35" s="27"/>
      <c r="B35" s="27"/>
      <c r="C35" s="26" t="s">
        <v>50</v>
      </c>
      <c r="D35" s="27"/>
      <c r="E35" s="40">
        <f>+SUM(E30:E33)</f>
        <v>-63959.8</v>
      </c>
      <c r="F35" s="27"/>
    </row>
    <row r="36" spans="1:6" x14ac:dyDescent="0.3">
      <c r="A36" s="27"/>
      <c r="B36" s="27"/>
      <c r="C36" s="27"/>
      <c r="D36" s="27"/>
      <c r="E36" s="27"/>
      <c r="F36" s="27"/>
    </row>
    <row r="37" spans="1:6" x14ac:dyDescent="0.3">
      <c r="A37" s="27"/>
      <c r="B37" s="27"/>
      <c r="C37" s="26" t="s">
        <v>51</v>
      </c>
      <c r="D37" s="27"/>
      <c r="E37" s="27"/>
      <c r="F37" s="29">
        <f>+E26-ABS(E35)</f>
        <v>156041.58999999997</v>
      </c>
    </row>
    <row r="38" spans="1:6" x14ac:dyDescent="0.3">
      <c r="A38" s="27"/>
      <c r="B38" s="27"/>
      <c r="C38" s="27"/>
      <c r="D38" s="27"/>
      <c r="E38" s="27"/>
      <c r="F38" s="27"/>
    </row>
    <row r="39" spans="1:6" x14ac:dyDescent="0.3">
      <c r="A39" s="26" t="s">
        <v>52</v>
      </c>
      <c r="B39" s="27"/>
      <c r="C39" s="27"/>
      <c r="D39" s="27"/>
      <c r="E39" s="27"/>
      <c r="F39" s="27"/>
    </row>
    <row r="40" spans="1:6" x14ac:dyDescent="0.3">
      <c r="A40" s="27"/>
      <c r="B40" s="27"/>
      <c r="C40" s="27"/>
      <c r="D40" s="27"/>
      <c r="E40" s="27"/>
      <c r="F40" s="27"/>
    </row>
    <row r="41" spans="1:6" x14ac:dyDescent="0.3">
      <c r="A41" s="27"/>
      <c r="B41" s="55" t="s">
        <v>198</v>
      </c>
      <c r="C41" s="27"/>
      <c r="D41" s="27"/>
      <c r="E41" s="3">
        <v>58572.08</v>
      </c>
      <c r="F41" s="27"/>
    </row>
    <row r="42" spans="1:6" x14ac:dyDescent="0.3">
      <c r="A42" s="27"/>
      <c r="B42" s="55" t="s">
        <v>199</v>
      </c>
      <c r="C42" s="27"/>
      <c r="D42" s="27"/>
      <c r="E42" s="3">
        <v>106789.47</v>
      </c>
      <c r="F42" s="27"/>
    </row>
    <row r="43" spans="1:6" x14ac:dyDescent="0.3">
      <c r="A43" s="27"/>
      <c r="B43" s="55" t="s">
        <v>200</v>
      </c>
      <c r="C43" s="27"/>
      <c r="D43" s="27"/>
      <c r="E43" s="3">
        <v>571107.25</v>
      </c>
      <c r="F43" s="27"/>
    </row>
    <row r="44" spans="1:6" x14ac:dyDescent="0.3">
      <c r="A44" s="27"/>
      <c r="B44" s="55" t="s">
        <v>201</v>
      </c>
      <c r="C44" s="27"/>
      <c r="D44" s="27"/>
      <c r="E44" s="3">
        <v>1071</v>
      </c>
      <c r="F44" s="27"/>
    </row>
    <row r="45" spans="1:6" x14ac:dyDescent="0.3">
      <c r="A45" s="27"/>
      <c r="B45" s="55" t="s">
        <v>202</v>
      </c>
      <c r="C45" s="27"/>
      <c r="D45" s="27"/>
      <c r="E45" s="3">
        <v>28204.38</v>
      </c>
      <c r="F45" s="27"/>
    </row>
    <row r="46" spans="1:6" x14ac:dyDescent="0.3">
      <c r="A46" s="27"/>
      <c r="B46" s="27"/>
      <c r="C46" s="27"/>
      <c r="D46" s="27"/>
      <c r="E46" s="27"/>
      <c r="F46" s="27"/>
    </row>
    <row r="47" spans="1:6" x14ac:dyDescent="0.3">
      <c r="A47" s="27"/>
      <c r="B47" s="27"/>
      <c r="C47" s="26" t="s">
        <v>53</v>
      </c>
      <c r="D47" s="27"/>
      <c r="E47" s="27"/>
      <c r="F47" s="29">
        <f>+SUM(E41:E45)</f>
        <v>765744.18</v>
      </c>
    </row>
    <row r="48" spans="1:6" x14ac:dyDescent="0.3">
      <c r="A48" s="27"/>
      <c r="B48" s="27"/>
      <c r="C48" s="27"/>
      <c r="D48" s="27"/>
      <c r="E48" s="27"/>
      <c r="F48" s="27"/>
    </row>
    <row r="49" spans="1:15" x14ac:dyDescent="0.3">
      <c r="A49" s="27"/>
      <c r="B49" s="27"/>
      <c r="C49" s="27"/>
      <c r="D49" s="26" t="s">
        <v>54</v>
      </c>
      <c r="E49" s="27"/>
      <c r="F49" s="28">
        <f>+(+F17+F47+E26)-ABS(E35)</f>
        <v>36712051.620000005</v>
      </c>
    </row>
    <row r="50" spans="1:15" x14ac:dyDescent="0.3">
      <c r="A50" s="27"/>
      <c r="B50" s="27"/>
      <c r="C50" s="27"/>
      <c r="D50" s="27"/>
      <c r="E50" s="27"/>
      <c r="F50" s="27"/>
    </row>
    <row r="51" spans="1:15" x14ac:dyDescent="0.3">
      <c r="A51" s="27"/>
      <c r="B51" s="27"/>
      <c r="C51" s="27"/>
      <c r="D51" s="27"/>
      <c r="E51" s="27"/>
      <c r="F51" s="27"/>
    </row>
    <row r="52" spans="1:15" x14ac:dyDescent="0.3">
      <c r="A52" s="26" t="s">
        <v>55</v>
      </c>
      <c r="B52" s="27"/>
      <c r="C52" s="27"/>
      <c r="D52" s="27"/>
      <c r="E52" s="27"/>
      <c r="F52" s="27"/>
    </row>
    <row r="53" spans="1:15" ht="11.7" customHeight="1" x14ac:dyDescent="0.3">
      <c r="A53" s="27"/>
      <c r="B53" s="27"/>
      <c r="C53" s="27"/>
      <c r="D53" s="27"/>
      <c r="E53" s="27"/>
      <c r="F53" s="27"/>
    </row>
    <row r="54" spans="1:15" x14ac:dyDescent="0.3">
      <c r="A54" s="26" t="s">
        <v>56</v>
      </c>
      <c r="B54" s="27"/>
      <c r="C54" s="27"/>
      <c r="D54" s="27"/>
      <c r="E54" s="27"/>
      <c r="F54" s="27"/>
    </row>
    <row r="55" spans="1:15" ht="12.6" customHeight="1" x14ac:dyDescent="0.3">
      <c r="A55" s="27"/>
      <c r="B55" s="27"/>
      <c r="C55" s="27"/>
      <c r="D55" s="27"/>
      <c r="E55" s="27"/>
      <c r="F55" s="1"/>
      <c r="I55" s="3"/>
    </row>
    <row r="56" spans="1:15" x14ac:dyDescent="0.3">
      <c r="A56" s="27"/>
      <c r="B56" s="1" t="s">
        <v>203</v>
      </c>
      <c r="C56" s="27"/>
      <c r="D56" s="27"/>
      <c r="E56" s="3">
        <v>3871881.57</v>
      </c>
      <c r="F56" s="1"/>
      <c r="G56" s="1"/>
      <c r="H56" s="1"/>
      <c r="J56" s="3"/>
      <c r="K56" s="3"/>
      <c r="M56" s="8"/>
    </row>
    <row r="57" spans="1:15" x14ac:dyDescent="0.3">
      <c r="A57" s="27"/>
      <c r="B57" s="1" t="s">
        <v>204</v>
      </c>
      <c r="C57" s="27"/>
      <c r="D57" s="27"/>
      <c r="E57" s="3"/>
      <c r="F57" s="1"/>
      <c r="G57" s="1"/>
      <c r="H57" s="1"/>
      <c r="J57" s="3"/>
      <c r="K57" s="3"/>
      <c r="M57" s="8"/>
    </row>
    <row r="58" spans="1:15" x14ac:dyDescent="0.3">
      <c r="A58" s="27"/>
      <c r="B58" s="1" t="s">
        <v>205</v>
      </c>
      <c r="C58" s="27"/>
      <c r="D58" s="27"/>
      <c r="E58" s="3">
        <v>164495.96</v>
      </c>
      <c r="F58" s="1"/>
      <c r="G58" s="1"/>
      <c r="H58" s="1"/>
      <c r="J58" s="3"/>
      <c r="K58" s="3"/>
      <c r="M58" s="8"/>
    </row>
    <row r="59" spans="1:15" x14ac:dyDescent="0.3">
      <c r="A59" s="27"/>
      <c r="B59" s="1" t="s">
        <v>206</v>
      </c>
      <c r="C59" s="27"/>
      <c r="D59" s="27"/>
      <c r="E59" s="3">
        <v>11194804.199999999</v>
      </c>
      <c r="F59" s="1"/>
      <c r="G59" s="1"/>
      <c r="H59" s="1"/>
      <c r="I59" s="6"/>
      <c r="J59" s="3"/>
      <c r="K59" s="3"/>
      <c r="M59" s="8"/>
      <c r="N59" s="6"/>
      <c r="O59" s="6"/>
    </row>
    <row r="60" spans="1:15" x14ac:dyDescent="0.3">
      <c r="A60" s="27"/>
      <c r="B60" s="1" t="s">
        <v>207</v>
      </c>
      <c r="C60" s="27"/>
      <c r="D60" s="27"/>
      <c r="E60" s="3">
        <v>0</v>
      </c>
      <c r="F60" s="1"/>
      <c r="G60" s="1"/>
      <c r="H60" s="1"/>
      <c r="J60" s="3"/>
      <c r="K60" s="3"/>
      <c r="M60" s="8"/>
    </row>
    <row r="61" spans="1:15" x14ac:dyDescent="0.3">
      <c r="A61" s="27"/>
      <c r="B61" s="1" t="s">
        <v>237</v>
      </c>
      <c r="C61" s="27"/>
      <c r="D61" s="27"/>
      <c r="E61" s="3">
        <v>5407.56</v>
      </c>
      <c r="F61" s="1"/>
      <c r="G61" s="1"/>
      <c r="H61" s="1"/>
      <c r="J61" s="3"/>
      <c r="K61" s="3"/>
      <c r="M61" s="8"/>
    </row>
    <row r="62" spans="1:15" x14ac:dyDescent="0.3">
      <c r="A62" s="27"/>
      <c r="B62" s="1" t="s">
        <v>208</v>
      </c>
      <c r="C62" s="27"/>
      <c r="D62" s="27"/>
      <c r="E62" s="3">
        <v>0</v>
      </c>
      <c r="F62" s="1"/>
      <c r="G62" s="1"/>
      <c r="H62" s="1"/>
      <c r="J62" s="3"/>
      <c r="K62" s="3"/>
      <c r="M62" s="8"/>
    </row>
    <row r="63" spans="1:15" x14ac:dyDescent="0.3">
      <c r="A63" s="27"/>
      <c r="B63" s="1" t="s">
        <v>229</v>
      </c>
      <c r="C63" s="27"/>
      <c r="D63" s="27"/>
      <c r="E63" s="3">
        <v>0</v>
      </c>
      <c r="F63" s="1"/>
      <c r="G63" s="1"/>
      <c r="H63" s="1"/>
      <c r="J63" s="3"/>
      <c r="K63" s="3"/>
      <c r="M63" s="8"/>
    </row>
    <row r="64" spans="1:15" x14ac:dyDescent="0.3">
      <c r="A64" s="27"/>
      <c r="B64" s="1" t="s">
        <v>273</v>
      </c>
      <c r="C64" s="27"/>
      <c r="D64" s="27"/>
      <c r="E64" s="3">
        <v>0</v>
      </c>
      <c r="F64" s="1"/>
      <c r="G64" s="1"/>
      <c r="H64" s="1"/>
      <c r="J64" s="3"/>
      <c r="K64" s="3"/>
      <c r="M64" s="8"/>
    </row>
    <row r="65" spans="1:13" x14ac:dyDescent="0.3">
      <c r="A65" s="27"/>
      <c r="B65" s="1" t="s">
        <v>36</v>
      </c>
      <c r="C65" s="27"/>
      <c r="D65" s="27"/>
      <c r="E65" s="3">
        <v>0</v>
      </c>
      <c r="F65" s="1"/>
      <c r="G65" s="1"/>
      <c r="H65" s="1"/>
      <c r="J65" s="3"/>
      <c r="K65" s="3"/>
      <c r="M65" s="8"/>
    </row>
    <row r="66" spans="1:13" x14ac:dyDescent="0.3">
      <c r="A66" s="27"/>
      <c r="B66" s="1" t="s">
        <v>212</v>
      </c>
      <c r="C66" s="27"/>
      <c r="D66" s="27"/>
      <c r="E66" s="3">
        <v>0</v>
      </c>
      <c r="F66" s="1"/>
      <c r="G66" s="1"/>
      <c r="H66" s="1"/>
      <c r="J66" s="3"/>
      <c r="K66" s="3"/>
      <c r="M66" s="8"/>
    </row>
    <row r="67" spans="1:13" x14ac:dyDescent="0.3">
      <c r="A67" s="27"/>
      <c r="B67" s="1" t="s">
        <v>305</v>
      </c>
      <c r="C67" s="27"/>
      <c r="D67" s="27"/>
      <c r="E67" s="3">
        <v>223670.36</v>
      </c>
      <c r="F67" s="1"/>
      <c r="G67" s="1"/>
      <c r="H67" s="1"/>
      <c r="J67" s="3"/>
      <c r="K67" s="3"/>
      <c r="M67" s="8"/>
    </row>
    <row r="68" spans="1:13" x14ac:dyDescent="0.3">
      <c r="A68" s="27"/>
      <c r="B68" s="1" t="s">
        <v>216</v>
      </c>
      <c r="C68" s="27"/>
      <c r="D68" s="27"/>
      <c r="E68" s="3">
        <v>0</v>
      </c>
      <c r="F68" s="1"/>
      <c r="J68" s="7"/>
      <c r="M68" s="8"/>
    </row>
    <row r="69" spans="1:13" x14ac:dyDescent="0.3">
      <c r="A69" s="27"/>
      <c r="B69" s="27"/>
      <c r="C69" s="27"/>
      <c r="D69" s="27"/>
      <c r="E69" s="27"/>
      <c r="F69" s="1"/>
      <c r="J69" s="7"/>
      <c r="M69" s="8"/>
    </row>
    <row r="70" spans="1:13" x14ac:dyDescent="0.3">
      <c r="A70" s="27"/>
      <c r="B70" s="27"/>
      <c r="C70" s="26" t="s">
        <v>57</v>
      </c>
      <c r="D70" s="27"/>
      <c r="E70" s="27"/>
      <c r="F70" s="29">
        <f>+SUM(E56:E68)</f>
        <v>15460259.649999999</v>
      </c>
    </row>
    <row r="71" spans="1:13" ht="12.6" customHeight="1" x14ac:dyDescent="0.3">
      <c r="A71" s="27"/>
      <c r="B71" s="27"/>
      <c r="C71" s="27"/>
      <c r="D71" s="27"/>
      <c r="E71" s="27"/>
      <c r="F71" s="36"/>
    </row>
    <row r="72" spans="1:13" x14ac:dyDescent="0.3">
      <c r="A72" s="26" t="s">
        <v>58</v>
      </c>
      <c r="B72" s="27"/>
      <c r="C72" s="27"/>
      <c r="D72" s="27"/>
      <c r="E72" s="27"/>
      <c r="F72" s="27"/>
    </row>
    <row r="73" spans="1:13" ht="12.6" customHeight="1" x14ac:dyDescent="0.3">
      <c r="A73" s="27"/>
      <c r="B73" s="27"/>
      <c r="C73" s="27"/>
      <c r="D73" s="27"/>
      <c r="E73" s="27"/>
      <c r="F73" s="27"/>
    </row>
    <row r="74" spans="1:13" x14ac:dyDescent="0.3">
      <c r="A74" s="27"/>
      <c r="B74" s="55" t="s">
        <v>163</v>
      </c>
      <c r="C74" s="27"/>
      <c r="D74" s="27"/>
      <c r="E74" s="3">
        <v>0</v>
      </c>
      <c r="F74" s="27"/>
    </row>
    <row r="75" spans="1:13" x14ac:dyDescent="0.3">
      <c r="A75" s="27"/>
      <c r="B75" s="55" t="s">
        <v>159</v>
      </c>
      <c r="C75" s="27"/>
      <c r="D75" s="27"/>
      <c r="E75" s="3">
        <v>0</v>
      </c>
      <c r="F75" s="27"/>
    </row>
    <row r="76" spans="1:13" x14ac:dyDescent="0.3">
      <c r="A76" s="27"/>
      <c r="B76" s="55" t="s">
        <v>139</v>
      </c>
      <c r="C76" s="27"/>
      <c r="D76" s="27"/>
      <c r="E76" s="3">
        <v>44085.03</v>
      </c>
      <c r="F76" s="27"/>
    </row>
    <row r="77" spans="1:13" x14ac:dyDescent="0.3">
      <c r="A77" s="27"/>
      <c r="B77" s="55" t="s">
        <v>140</v>
      </c>
      <c r="C77" s="27"/>
      <c r="D77" s="27"/>
      <c r="E77" s="3">
        <v>1000000</v>
      </c>
      <c r="F77" s="27"/>
    </row>
    <row r="78" spans="1:13" x14ac:dyDescent="0.3">
      <c r="A78" s="27"/>
      <c r="B78" s="27"/>
      <c r="C78" s="27"/>
      <c r="D78" s="27"/>
      <c r="E78" s="27"/>
      <c r="F78" s="27"/>
    </row>
    <row r="79" spans="1:13" x14ac:dyDescent="0.3">
      <c r="A79" s="27"/>
      <c r="B79" s="27"/>
      <c r="C79" s="26" t="s">
        <v>59</v>
      </c>
      <c r="D79" s="27"/>
      <c r="E79" s="27"/>
      <c r="F79" s="29">
        <f>+SUM(E74:E77)</f>
        <v>1044085.03</v>
      </c>
    </row>
    <row r="80" spans="1:13" x14ac:dyDescent="0.3">
      <c r="A80" s="27"/>
      <c r="B80" s="27"/>
      <c r="C80" s="27"/>
      <c r="D80" s="27"/>
      <c r="E80" s="27"/>
      <c r="F80" s="27"/>
    </row>
    <row r="81" spans="1:6" x14ac:dyDescent="0.3">
      <c r="A81" s="27"/>
      <c r="B81" s="27"/>
      <c r="C81" s="27"/>
      <c r="D81" s="26" t="s">
        <v>60</v>
      </c>
      <c r="E81" s="27"/>
      <c r="F81" s="29">
        <f>+F70+F79</f>
        <v>16504344.679999998</v>
      </c>
    </row>
    <row r="82" spans="1:6" ht="13.2" customHeight="1" x14ac:dyDescent="0.3">
      <c r="A82" s="27"/>
      <c r="B82" s="27"/>
      <c r="C82" s="27"/>
      <c r="D82" s="27"/>
      <c r="E82" s="27"/>
      <c r="F82" s="27"/>
    </row>
    <row r="83" spans="1:6" x14ac:dyDescent="0.3">
      <c r="A83" s="26" t="s">
        <v>61</v>
      </c>
      <c r="B83" s="27"/>
      <c r="C83" s="27"/>
      <c r="D83" s="27"/>
      <c r="E83" s="27"/>
      <c r="F83" s="27"/>
    </row>
    <row r="84" spans="1:6" x14ac:dyDescent="0.3">
      <c r="A84" s="27"/>
      <c r="B84" s="27"/>
      <c r="C84" s="27"/>
      <c r="D84" s="27"/>
      <c r="E84" s="27"/>
      <c r="F84" s="27"/>
    </row>
    <row r="85" spans="1:6" x14ac:dyDescent="0.3">
      <c r="A85" s="26" t="s">
        <v>62</v>
      </c>
      <c r="B85" s="27"/>
      <c r="C85" s="27"/>
      <c r="D85" s="27"/>
      <c r="E85" s="27"/>
      <c r="F85" s="27"/>
    </row>
    <row r="86" spans="1:6" ht="10.199999999999999" customHeight="1" x14ac:dyDescent="0.3">
      <c r="A86" s="27"/>
      <c r="B86" s="27"/>
      <c r="C86" s="27"/>
      <c r="D86" s="27"/>
      <c r="E86" s="27"/>
      <c r="F86" s="27"/>
    </row>
    <row r="87" spans="1:6" x14ac:dyDescent="0.3">
      <c r="A87" s="27"/>
      <c r="B87" s="55" t="s">
        <v>141</v>
      </c>
      <c r="C87" s="27"/>
      <c r="D87" s="27"/>
      <c r="E87" s="3">
        <v>730</v>
      </c>
      <c r="F87" s="27"/>
    </row>
    <row r="88" spans="1:6" x14ac:dyDescent="0.3">
      <c r="A88" s="27"/>
      <c r="B88" s="55" t="s">
        <v>160</v>
      </c>
      <c r="C88" s="27"/>
      <c r="D88" s="27"/>
      <c r="E88" s="3">
        <v>50</v>
      </c>
      <c r="F88" s="27"/>
    </row>
    <row r="89" spans="1:6" x14ac:dyDescent="0.3">
      <c r="A89" s="27"/>
      <c r="B89" s="55" t="s">
        <v>161</v>
      </c>
      <c r="C89" s="27"/>
      <c r="D89" s="27"/>
      <c r="E89" s="3">
        <v>100</v>
      </c>
      <c r="F89" s="27"/>
    </row>
    <row r="90" spans="1:6" x14ac:dyDescent="0.3">
      <c r="A90" s="27"/>
      <c r="B90" s="55" t="s">
        <v>162</v>
      </c>
      <c r="C90" s="27"/>
      <c r="D90" s="27"/>
      <c r="E90" s="3">
        <v>100</v>
      </c>
      <c r="F90" s="27"/>
    </row>
    <row r="91" spans="1:6" x14ac:dyDescent="0.3">
      <c r="A91" s="27"/>
      <c r="B91" s="55" t="s">
        <v>246</v>
      </c>
      <c r="C91" s="27"/>
      <c r="D91" s="27"/>
      <c r="E91" s="3">
        <v>20</v>
      </c>
      <c r="F91" s="27"/>
    </row>
    <row r="92" spans="1:6" x14ac:dyDescent="0.3">
      <c r="A92" s="27"/>
      <c r="B92" s="27" t="s">
        <v>116</v>
      </c>
      <c r="C92" s="27"/>
      <c r="D92" s="27"/>
      <c r="E92" s="3">
        <v>0</v>
      </c>
      <c r="F92" s="27"/>
    </row>
    <row r="93" spans="1:6" x14ac:dyDescent="0.3">
      <c r="A93" s="27"/>
      <c r="B93" s="55" t="s">
        <v>117</v>
      </c>
      <c r="C93" s="27"/>
      <c r="D93" s="27"/>
      <c r="E93" s="3">
        <v>11273708.880000001</v>
      </c>
      <c r="F93" s="27"/>
    </row>
    <row r="94" spans="1:6" x14ac:dyDescent="0.3">
      <c r="A94" s="27"/>
      <c r="B94" s="27"/>
      <c r="C94" s="27"/>
      <c r="D94" s="27"/>
      <c r="E94" s="27"/>
      <c r="F94" s="27"/>
    </row>
    <row r="95" spans="1:6" x14ac:dyDescent="0.3">
      <c r="A95" s="27"/>
      <c r="B95" s="27"/>
      <c r="C95" s="26" t="s">
        <v>63</v>
      </c>
      <c r="D95" s="27"/>
      <c r="E95" s="40">
        <f>SUM(E87:E93)</f>
        <v>11274708.880000001</v>
      </c>
      <c r="F95" s="27"/>
    </row>
    <row r="96" spans="1:6" ht="12.6" customHeight="1" x14ac:dyDescent="0.3">
      <c r="A96" s="27"/>
      <c r="B96" s="27"/>
      <c r="C96" s="27"/>
      <c r="D96" s="27"/>
      <c r="E96" s="27"/>
      <c r="F96" s="27"/>
    </row>
    <row r="97" spans="1:12" x14ac:dyDescent="0.3">
      <c r="A97" s="26" t="s">
        <v>64</v>
      </c>
      <c r="B97" s="27"/>
      <c r="C97" s="27"/>
      <c r="D97" s="27"/>
      <c r="E97" s="27"/>
      <c r="F97" s="27"/>
    </row>
    <row r="98" spans="1:12" ht="13.2" customHeight="1" x14ac:dyDescent="0.3">
      <c r="A98" s="27"/>
      <c r="B98" s="27"/>
      <c r="C98" s="27"/>
      <c r="D98" s="27"/>
      <c r="E98" s="27"/>
      <c r="F98" s="27"/>
    </row>
    <row r="99" spans="1:12" x14ac:dyDescent="0.3">
      <c r="A99" s="27"/>
      <c r="B99" s="55" t="s">
        <v>142</v>
      </c>
      <c r="C99" s="27"/>
      <c r="D99" s="27"/>
      <c r="E99" s="3">
        <v>-813486.15</v>
      </c>
      <c r="F99" s="27"/>
    </row>
    <row r="100" spans="1:12" ht="11.7" customHeight="1" x14ac:dyDescent="0.3">
      <c r="A100" s="27"/>
      <c r="B100" s="27"/>
      <c r="C100" s="27"/>
      <c r="D100" s="27"/>
      <c r="E100" s="27"/>
      <c r="F100" s="27"/>
    </row>
    <row r="101" spans="1:12" x14ac:dyDescent="0.3">
      <c r="A101" s="27"/>
      <c r="B101" s="27"/>
      <c r="C101" s="26" t="s">
        <v>65</v>
      </c>
      <c r="D101" s="27"/>
      <c r="E101" s="40">
        <f>+SUM(E99:E99)</f>
        <v>-813486.15</v>
      </c>
      <c r="F101" s="27"/>
    </row>
    <row r="102" spans="1:12" ht="12.6" customHeight="1" x14ac:dyDescent="0.3">
      <c r="A102" s="27"/>
      <c r="B102" s="27"/>
      <c r="C102" s="27"/>
      <c r="D102" s="27"/>
      <c r="E102" s="27"/>
      <c r="F102" s="27"/>
    </row>
    <row r="103" spans="1:12" x14ac:dyDescent="0.3">
      <c r="A103" s="26" t="s">
        <v>66</v>
      </c>
      <c r="B103" s="27"/>
      <c r="C103" s="27"/>
      <c r="D103" s="27"/>
      <c r="E103" s="4">
        <f>SUM('August 2026 - Inc. Stmt- ALL'!G120)-'August 2026 - Inc. Stmt- ALL'!G125-'August 2026 - Inc. Stmt- ALL'!G128</f>
        <v>9746484.2100000009</v>
      </c>
      <c r="F103" s="27"/>
    </row>
    <row r="104" spans="1:12" x14ac:dyDescent="0.3">
      <c r="A104" s="27"/>
      <c r="B104" s="27"/>
      <c r="C104" s="27"/>
      <c r="D104" s="27"/>
      <c r="E104" s="27"/>
      <c r="F104" s="27"/>
    </row>
    <row r="105" spans="1:12" x14ac:dyDescent="0.3">
      <c r="A105" s="27"/>
      <c r="B105" s="27"/>
      <c r="C105" s="27"/>
      <c r="D105" s="26" t="s">
        <v>67</v>
      </c>
      <c r="E105" s="27"/>
      <c r="F105" s="29">
        <f>+E95+E101+E103</f>
        <v>20207706.940000001</v>
      </c>
      <c r="I105" s="6"/>
    </row>
    <row r="106" spans="1:12" x14ac:dyDescent="0.3">
      <c r="A106" s="27"/>
      <c r="B106" s="27"/>
      <c r="C106" s="27"/>
      <c r="D106" s="27"/>
      <c r="E106" s="27"/>
      <c r="F106" s="27"/>
    </row>
    <row r="107" spans="1:12" x14ac:dyDescent="0.3">
      <c r="A107" s="27"/>
      <c r="B107" s="27"/>
      <c r="C107" s="27"/>
      <c r="D107" s="26" t="s">
        <v>68</v>
      </c>
      <c r="E107" s="27"/>
      <c r="F107" s="28">
        <f>+(F70+F79+E95)+E101+E103</f>
        <v>36712051.620000005</v>
      </c>
      <c r="H107" s="97"/>
    </row>
    <row r="109" spans="1:12" x14ac:dyDescent="0.3">
      <c r="L109" s="97"/>
    </row>
    <row r="110" spans="1:12" x14ac:dyDescent="0.3">
      <c r="F110" s="97">
        <f>F107-F49</f>
        <v>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4:F4"/>
    <mergeCell ref="A5:F5"/>
  </mergeCells>
  <printOptions horizontalCentered="1"/>
  <pageMargins left="0.2" right="0.2" top="0.5" bottom="0.25" header="0.3" footer="0.25"/>
  <pageSetup scale="89" orientation="portrait" r:id="rId1"/>
  <headerFooter>
    <oddFooter>&amp;C&amp;A
&amp;P of &amp;N</oddFooter>
  </headerFooter>
  <rowBreaks count="1" manualBreakCount="1">
    <brk id="51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50"/>
  <sheetViews>
    <sheetView zoomScaleNormal="100" zoomScaleSheetLayoutView="70" workbookViewId="0">
      <pane ySplit="12" topLeftCell="A81" activePane="bottomLeft" state="frozen"/>
      <selection activeCell="A6" sqref="A6"/>
      <selection pane="bottomLeft" activeCell="K98" sqref="K98"/>
    </sheetView>
  </sheetViews>
  <sheetFormatPr defaultRowHeight="14.4" x14ac:dyDescent="0.3"/>
  <cols>
    <col min="1" max="1" width="6.33203125" customWidth="1"/>
    <col min="2" max="2" width="44.5546875" bestFit="1" customWidth="1"/>
    <col min="3" max="4" width="16.33203125" customWidth="1"/>
    <col min="5" max="5" width="17.109375" customWidth="1"/>
    <col min="6" max="6" width="17.44140625" customWidth="1"/>
    <col min="7" max="7" width="16.44140625" customWidth="1"/>
    <col min="8" max="8" width="17.5546875" customWidth="1"/>
    <col min="9" max="9" width="17.33203125" customWidth="1"/>
    <col min="10" max="10" width="17.109375" customWidth="1"/>
    <col min="11" max="11" width="14.88671875" style="68" customWidth="1"/>
    <col min="12" max="12" width="11.5546875" bestFit="1" customWidth="1"/>
    <col min="13" max="13" width="15" bestFit="1" customWidth="1"/>
    <col min="14" max="14" width="15.109375" bestFit="1" customWidth="1"/>
    <col min="15" max="15" width="14.5546875" bestFit="1" customWidth="1"/>
    <col min="19" max="19" width="12.6640625" bestFit="1" customWidth="1"/>
  </cols>
  <sheetData>
    <row r="1" spans="1:20" x14ac:dyDescent="0.3">
      <c r="J1" t="s">
        <v>72</v>
      </c>
    </row>
    <row r="3" spans="1:20" ht="18" x14ac:dyDescent="0.35">
      <c r="A3" s="21"/>
      <c r="B3" s="20"/>
    </row>
    <row r="4" spans="1:20" ht="12.6" customHeight="1" x14ac:dyDescent="0.35">
      <c r="A4" s="21"/>
      <c r="B4" s="20"/>
    </row>
    <row r="5" spans="1:20" ht="12.6" customHeight="1" x14ac:dyDescent="0.35">
      <c r="A5" s="21"/>
      <c r="B5" s="20"/>
    </row>
    <row r="6" spans="1:20" ht="12.6" customHeight="1" x14ac:dyDescent="0.35">
      <c r="A6" s="21"/>
      <c r="B6" s="20"/>
    </row>
    <row r="7" spans="1:20" ht="15.6" x14ac:dyDescent="0.3">
      <c r="A7" s="124" t="s">
        <v>42</v>
      </c>
      <c r="B7" s="124"/>
      <c r="C7" s="124"/>
      <c r="D7" s="124"/>
      <c r="E7" s="124"/>
      <c r="F7" s="124"/>
      <c r="G7" s="124"/>
      <c r="H7" s="124"/>
      <c r="I7" s="124"/>
      <c r="J7" s="124"/>
    </row>
    <row r="8" spans="1:20" ht="15.6" x14ac:dyDescent="0.3">
      <c r="A8" s="126">
        <v>46265</v>
      </c>
      <c r="B8" s="126"/>
      <c r="C8" s="126"/>
      <c r="D8" s="126"/>
      <c r="E8" s="126"/>
      <c r="F8" s="126"/>
      <c r="G8" s="126"/>
      <c r="H8" s="126"/>
      <c r="I8" s="126"/>
      <c r="J8" s="126"/>
    </row>
    <row r="9" spans="1:20" x14ac:dyDescent="0.3">
      <c r="A9" s="25"/>
      <c r="B9" s="25"/>
      <c r="C9" s="25"/>
      <c r="D9" s="25"/>
      <c r="E9" s="25"/>
      <c r="F9" s="25"/>
      <c r="G9" s="25"/>
      <c r="H9" s="25"/>
      <c r="I9" s="25"/>
      <c r="J9" s="25"/>
    </row>
    <row r="10" spans="1:20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N10" s="104">
        <v>45900</v>
      </c>
    </row>
    <row r="11" spans="1:20" x14ac:dyDescent="0.3">
      <c r="E11" s="11" t="s">
        <v>31</v>
      </c>
      <c r="F11" s="11" t="s">
        <v>31</v>
      </c>
      <c r="I11" s="11" t="s">
        <v>31</v>
      </c>
      <c r="J11" s="11" t="s">
        <v>31</v>
      </c>
      <c r="N11" s="11" t="s">
        <v>218</v>
      </c>
      <c r="O11" s="11"/>
    </row>
    <row r="12" spans="1:20" s="12" customFormat="1" x14ac:dyDescent="0.3">
      <c r="C12" s="13" t="s">
        <v>0</v>
      </c>
      <c r="D12" s="13" t="s">
        <v>1</v>
      </c>
      <c r="E12" s="10" t="s">
        <v>40</v>
      </c>
      <c r="F12" s="10" t="s">
        <v>39</v>
      </c>
      <c r="G12" s="13" t="s">
        <v>32</v>
      </c>
      <c r="H12" s="13" t="s">
        <v>1</v>
      </c>
      <c r="I12" s="10" t="s">
        <v>41</v>
      </c>
      <c r="J12" s="10" t="s">
        <v>132</v>
      </c>
      <c r="K12" s="111" t="s">
        <v>275</v>
      </c>
      <c r="N12" s="10" t="s">
        <v>32</v>
      </c>
      <c r="O12" s="10" t="s">
        <v>219</v>
      </c>
    </row>
    <row r="13" spans="1:20" x14ac:dyDescent="0.3">
      <c r="S13" t="s">
        <v>214</v>
      </c>
      <c r="T13" s="100">
        <v>8</v>
      </c>
    </row>
    <row r="15" spans="1:20" x14ac:dyDescent="0.3">
      <c r="A15" s="2" t="s">
        <v>2</v>
      </c>
    </row>
    <row r="17" spans="1:15" x14ac:dyDescent="0.3">
      <c r="B17" s="1" t="s">
        <v>3</v>
      </c>
      <c r="C17" s="3">
        <v>8306017.25</v>
      </c>
      <c r="D17" s="3">
        <f>SUM(K17/12)</f>
        <v>6666666.666666667</v>
      </c>
      <c r="E17" s="6"/>
      <c r="F17" s="9">
        <f>SUM(C17-D17)</f>
        <v>1639350.583333333</v>
      </c>
      <c r="G17" s="3">
        <v>61018485.93</v>
      </c>
      <c r="H17" s="3">
        <f>SUM(D17*T$13)</f>
        <v>53333333.333333336</v>
      </c>
      <c r="I17" s="6"/>
      <c r="J17" s="9">
        <f>SUM(G17-H17)</f>
        <v>7685152.5966666639</v>
      </c>
      <c r="K17" s="68">
        <f>K21</f>
        <v>80000000</v>
      </c>
    </row>
    <row r="18" spans="1:15" x14ac:dyDescent="0.3">
      <c r="B18" s="1" t="s">
        <v>4</v>
      </c>
      <c r="C18" s="3">
        <v>-338708.68</v>
      </c>
      <c r="D18" s="3">
        <v>0</v>
      </c>
      <c r="G18" s="3">
        <v>3021143.15</v>
      </c>
      <c r="H18" s="3">
        <f>SUM(D18*T$13)</f>
        <v>0</v>
      </c>
    </row>
    <row r="19" spans="1:15" x14ac:dyDescent="0.3">
      <c r="B19" s="1" t="s">
        <v>5</v>
      </c>
      <c r="C19" s="3">
        <v>22205.49</v>
      </c>
      <c r="D19" s="3">
        <v>0</v>
      </c>
      <c r="G19" s="3">
        <v>193081.97</v>
      </c>
      <c r="H19" s="3">
        <f>SUM(D19*T$13)</f>
        <v>0</v>
      </c>
    </row>
    <row r="21" spans="1:15" x14ac:dyDescent="0.3">
      <c r="B21" s="2" t="s">
        <v>6</v>
      </c>
      <c r="C21" s="5">
        <f>SUM(C17:C20)</f>
        <v>7989514.0600000005</v>
      </c>
      <c r="D21" s="62">
        <f>SUM(D17:D20)</f>
        <v>6666666.666666667</v>
      </c>
      <c r="E21" s="63">
        <f>((C21-D21)/D21)*100</f>
        <v>19.8427109</v>
      </c>
      <c r="F21" s="64">
        <f>SUM(C21-D21)</f>
        <v>1322847.3933333335</v>
      </c>
      <c r="G21" s="62">
        <f>SUM(G17:G20)</f>
        <v>64232711.049999997</v>
      </c>
      <c r="H21" s="62">
        <f>SUM(H17:H20)</f>
        <v>53333333.333333336</v>
      </c>
      <c r="I21" s="63">
        <f>((G21-H21)/H21)*100</f>
        <v>20.43633321874999</v>
      </c>
      <c r="J21" s="64">
        <f>SUM(G21-H21)</f>
        <v>10899377.716666661</v>
      </c>
      <c r="K21" s="68">
        <v>80000000</v>
      </c>
      <c r="N21" s="5">
        <v>48256343.009999998</v>
      </c>
      <c r="O21" s="5">
        <f>G21-N21</f>
        <v>15976368.039999999</v>
      </c>
    </row>
    <row r="22" spans="1:15" x14ac:dyDescent="0.3">
      <c r="B22" s="2"/>
      <c r="C22" s="23"/>
      <c r="D22" s="23"/>
      <c r="E22" s="6"/>
      <c r="F22" s="9"/>
      <c r="G22" s="23"/>
      <c r="H22" s="23"/>
      <c r="I22" s="6"/>
      <c r="J22" s="9"/>
    </row>
    <row r="23" spans="1:15" x14ac:dyDescent="0.3">
      <c r="A23" s="2" t="s">
        <v>7</v>
      </c>
    </row>
    <row r="25" spans="1:15" x14ac:dyDescent="0.3">
      <c r="B25" s="1" t="s">
        <v>8</v>
      </c>
      <c r="C25" s="3">
        <v>1351245.79</v>
      </c>
      <c r="D25" s="3">
        <v>0</v>
      </c>
      <c r="G25" s="3">
        <v>15541061</v>
      </c>
      <c r="H25" s="3">
        <f t="shared" ref="H25:H32" si="0">SUM(D25*T$13)</f>
        <v>0</v>
      </c>
    </row>
    <row r="26" spans="1:15" x14ac:dyDescent="0.3">
      <c r="B26" s="1" t="s">
        <v>9</v>
      </c>
      <c r="C26" s="3">
        <v>173046.29</v>
      </c>
      <c r="D26" s="3">
        <v>0</v>
      </c>
      <c r="G26" s="3">
        <v>2670010.5699999998</v>
      </c>
      <c r="H26" s="3">
        <f t="shared" si="0"/>
        <v>0</v>
      </c>
    </row>
    <row r="27" spans="1:15" x14ac:dyDescent="0.3">
      <c r="B27" s="1" t="s">
        <v>10</v>
      </c>
      <c r="C27" s="3">
        <v>3306313.52</v>
      </c>
      <c r="D27" s="3">
        <v>0</v>
      </c>
      <c r="G27" s="3">
        <v>26829372.210000001</v>
      </c>
      <c r="H27" s="3">
        <f t="shared" si="0"/>
        <v>0</v>
      </c>
    </row>
    <row r="28" spans="1:15" x14ac:dyDescent="0.3">
      <c r="B28" s="1" t="s">
        <v>11</v>
      </c>
      <c r="C28" s="3">
        <v>232181.83</v>
      </c>
      <c r="D28" s="3">
        <v>0</v>
      </c>
      <c r="G28" s="3">
        <v>2623558.67</v>
      </c>
      <c r="H28" s="3">
        <f t="shared" si="0"/>
        <v>0</v>
      </c>
    </row>
    <row r="29" spans="1:15" x14ac:dyDescent="0.3">
      <c r="B29" s="1" t="s">
        <v>12</v>
      </c>
      <c r="C29" s="3">
        <v>562355.92000000004</v>
      </c>
      <c r="D29" s="3">
        <v>0</v>
      </c>
      <c r="G29" s="3">
        <v>4350728.04</v>
      </c>
      <c r="H29" s="3">
        <f t="shared" si="0"/>
        <v>0</v>
      </c>
    </row>
    <row r="30" spans="1:15" x14ac:dyDescent="0.3">
      <c r="B30" s="1" t="s">
        <v>227</v>
      </c>
      <c r="C30" s="3">
        <v>36959.760000000002</v>
      </c>
      <c r="D30" s="3">
        <v>0</v>
      </c>
      <c r="G30" s="3">
        <v>302849.51</v>
      </c>
      <c r="H30" s="3">
        <f t="shared" si="0"/>
        <v>0</v>
      </c>
    </row>
    <row r="31" spans="1:15" x14ac:dyDescent="0.3">
      <c r="B31" s="1" t="s">
        <v>228</v>
      </c>
      <c r="C31" s="3">
        <v>4146.3900000000003</v>
      </c>
      <c r="D31" s="3">
        <v>0</v>
      </c>
      <c r="G31" s="3">
        <v>30050.81</v>
      </c>
      <c r="H31" s="3">
        <f t="shared" si="0"/>
        <v>0</v>
      </c>
    </row>
    <row r="32" spans="1:15" x14ac:dyDescent="0.3">
      <c r="B32" s="1" t="s">
        <v>147</v>
      </c>
      <c r="C32" s="3">
        <v>0</v>
      </c>
      <c r="D32" s="3">
        <v>0</v>
      </c>
      <c r="G32" s="3">
        <v>138074.04999999999</v>
      </c>
      <c r="H32" s="3">
        <f t="shared" si="0"/>
        <v>0</v>
      </c>
    </row>
    <row r="33" spans="1:15" x14ac:dyDescent="0.3">
      <c r="B33" s="1"/>
      <c r="C33" s="3"/>
      <c r="D33" s="3"/>
      <c r="G33" s="3"/>
      <c r="H33" s="3"/>
    </row>
    <row r="35" spans="1:15" x14ac:dyDescent="0.3">
      <c r="B35" s="2" t="s">
        <v>13</v>
      </c>
      <c r="C35" s="62">
        <f>SUM(C25:C34)</f>
        <v>5666249.4999999991</v>
      </c>
      <c r="D35" s="62">
        <f>SUM(D17*0.8468)</f>
        <v>5645333.333333334</v>
      </c>
      <c r="E35" s="99">
        <f>((C35-D35)/D35)</f>
        <v>3.7050366084078494E-3</v>
      </c>
      <c r="F35" s="64">
        <f>SUM(C35-D35)</f>
        <v>20916.166666665114</v>
      </c>
      <c r="G35" s="62">
        <f>SUM(G25:G34)</f>
        <v>52485704.859999999</v>
      </c>
      <c r="H35" s="62">
        <f>K35/12*T13</f>
        <v>45164444.666666664</v>
      </c>
      <c r="I35" s="99">
        <f>((G35-H35)/H35)</f>
        <v>0.16210229633880002</v>
      </c>
      <c r="J35" s="64">
        <f>H35-G35</f>
        <v>-7321260.1933333352</v>
      </c>
      <c r="K35" s="68">
        <v>67746667</v>
      </c>
      <c r="N35" s="5">
        <v>41029273.350000001</v>
      </c>
      <c r="O35" s="5">
        <f>N35-G35</f>
        <v>-11456431.509999998</v>
      </c>
    </row>
    <row r="38" spans="1:15" x14ac:dyDescent="0.3">
      <c r="B38" s="2" t="s">
        <v>14</v>
      </c>
      <c r="C38" s="4">
        <f>SUM(C35)</f>
        <v>5666249.4999999991</v>
      </c>
      <c r="D38" s="4">
        <v>0</v>
      </c>
      <c r="G38" s="4">
        <f>SUM(G35)</f>
        <v>52485704.859999999</v>
      </c>
      <c r="H38" s="4">
        <f>H35</f>
        <v>45164444.666666664</v>
      </c>
      <c r="K38" s="68">
        <f>K35</f>
        <v>67746667</v>
      </c>
    </row>
    <row r="40" spans="1:15" x14ac:dyDescent="0.3">
      <c r="B40" s="2" t="s">
        <v>15</v>
      </c>
      <c r="C40" s="5">
        <f>+C21-C35</f>
        <v>2323264.5600000015</v>
      </c>
      <c r="D40" s="5">
        <f>+D21-D35</f>
        <v>1021333.333333333</v>
      </c>
      <c r="G40" s="5">
        <f>+G21-G35</f>
        <v>11747006.189999998</v>
      </c>
      <c r="H40" s="5">
        <f>+H21-H35</f>
        <v>8168888.6666666716</v>
      </c>
      <c r="J40" s="6">
        <f>G40-H40</f>
        <v>3578117.523333326</v>
      </c>
      <c r="K40" s="5">
        <f>+K21-K35</f>
        <v>12253333</v>
      </c>
      <c r="N40" s="5">
        <f>N21-N35</f>
        <v>7227069.6599999964</v>
      </c>
      <c r="O40" s="5">
        <f>G40-N40</f>
        <v>4519936.5300000012</v>
      </c>
    </row>
    <row r="41" spans="1:15" x14ac:dyDescent="0.3">
      <c r="B41" s="2"/>
      <c r="C41" s="23"/>
      <c r="D41" s="23"/>
      <c r="G41" s="23"/>
      <c r="H41" s="23"/>
      <c r="K41" s="23"/>
      <c r="N41" s="102"/>
    </row>
    <row r="42" spans="1:15" x14ac:dyDescent="0.3">
      <c r="B42" s="15" t="s">
        <v>71</v>
      </c>
      <c r="C42" s="24">
        <f>SUM(C40/C21)*100%</f>
        <v>0.29078921978891936</v>
      </c>
      <c r="D42" s="24">
        <f>SUM(D40/D21)*100%</f>
        <v>0.15319999999999995</v>
      </c>
      <c r="G42" s="24">
        <f>SUM(G40/G21)*100%</f>
        <v>0.18288199264788774</v>
      </c>
      <c r="H42" s="24">
        <f>SUM(H40/H21)*100%</f>
        <v>0.15316666250000008</v>
      </c>
      <c r="K42" s="24">
        <f>SUM(K40/K21)*100%</f>
        <v>0.15316666249999999</v>
      </c>
      <c r="N42" s="103">
        <f>N40/N21</f>
        <v>0.1497641389547972</v>
      </c>
    </row>
    <row r="43" spans="1:15" x14ac:dyDescent="0.3">
      <c r="B43" s="15"/>
    </row>
    <row r="44" spans="1:15" x14ac:dyDescent="0.3">
      <c r="A44" s="2" t="s">
        <v>16</v>
      </c>
      <c r="N44" s="102"/>
    </row>
    <row r="45" spans="1:15" x14ac:dyDescent="0.3">
      <c r="N45" s="102"/>
    </row>
    <row r="46" spans="1:15" x14ac:dyDescent="0.3">
      <c r="A46" s="1"/>
      <c r="B46" s="1" t="s">
        <v>164</v>
      </c>
      <c r="C46" s="3">
        <v>17342.580000000002</v>
      </c>
      <c r="D46" s="3">
        <f>SUM(K46/12)</f>
        <v>20143.390000000003</v>
      </c>
      <c r="E46" s="6"/>
      <c r="F46" s="9">
        <f t="shared" ref="F46:F84" si="1">SUM(C46-D46)</f>
        <v>-2800.8100000000013</v>
      </c>
      <c r="G46" s="3">
        <v>154110.28</v>
      </c>
      <c r="H46" s="3">
        <f t="shared" ref="H46:H84" si="2">SUM(D46*T$13)</f>
        <v>161147.12000000002</v>
      </c>
      <c r="I46" s="6"/>
      <c r="J46" s="9">
        <f>H46-G46</f>
        <v>7036.8400000000256</v>
      </c>
      <c r="K46" s="69">
        <v>241720.68000000005</v>
      </c>
      <c r="N46" s="102"/>
    </row>
    <row r="47" spans="1:15" x14ac:dyDescent="0.3">
      <c r="A47" s="1"/>
      <c r="B47" s="1" t="s">
        <v>165</v>
      </c>
      <c r="C47" s="3">
        <v>0</v>
      </c>
      <c r="D47" s="3">
        <f t="shared" ref="D47:D84" si="3">SUM(K47/12)</f>
        <v>1500</v>
      </c>
      <c r="E47" s="6"/>
      <c r="F47" s="9">
        <f t="shared" si="1"/>
        <v>-1500</v>
      </c>
      <c r="G47" s="3">
        <v>-114.16</v>
      </c>
      <c r="H47" s="3">
        <f t="shared" si="2"/>
        <v>12000</v>
      </c>
      <c r="I47" s="6"/>
      <c r="J47" s="9">
        <f t="shared" ref="J47:J84" si="4">H47-G47</f>
        <v>12114.16</v>
      </c>
      <c r="K47" s="69">
        <v>18000</v>
      </c>
      <c r="N47" s="102"/>
    </row>
    <row r="48" spans="1:15" x14ac:dyDescent="0.3">
      <c r="A48" s="1"/>
      <c r="B48" s="1" t="s">
        <v>166</v>
      </c>
      <c r="C48" s="3">
        <v>143531.76999999999</v>
      </c>
      <c r="D48" s="3">
        <f t="shared" si="3"/>
        <v>6250</v>
      </c>
      <c r="E48" s="6"/>
      <c r="F48" s="9">
        <f t="shared" si="1"/>
        <v>137281.76999999999</v>
      </c>
      <c r="G48" s="3">
        <v>237962.9</v>
      </c>
      <c r="H48" s="3">
        <f t="shared" si="2"/>
        <v>50000</v>
      </c>
      <c r="I48" s="6"/>
      <c r="J48" s="9">
        <f t="shared" si="4"/>
        <v>-187962.9</v>
      </c>
      <c r="K48" s="69">
        <v>75000</v>
      </c>
      <c r="N48" s="102"/>
    </row>
    <row r="49" spans="1:14" x14ac:dyDescent="0.3">
      <c r="A49" s="1"/>
      <c r="B49" s="1" t="s">
        <v>167</v>
      </c>
      <c r="C49" s="3">
        <v>433.32</v>
      </c>
      <c r="D49" s="3">
        <f t="shared" si="3"/>
        <v>1033.8333333333333</v>
      </c>
      <c r="E49" s="6"/>
      <c r="F49" s="9">
        <f t="shared" si="1"/>
        <v>-600.51333333333332</v>
      </c>
      <c r="G49" s="3">
        <v>6329.86</v>
      </c>
      <c r="H49" s="3">
        <f t="shared" si="2"/>
        <v>8270.6666666666661</v>
      </c>
      <c r="I49" s="6"/>
      <c r="J49" s="9">
        <f t="shared" si="4"/>
        <v>1940.8066666666664</v>
      </c>
      <c r="K49" s="69">
        <v>12406</v>
      </c>
      <c r="M49" s="6"/>
      <c r="N49" s="102"/>
    </row>
    <row r="50" spans="1:14" x14ac:dyDescent="0.3">
      <c r="A50" s="1"/>
      <c r="B50" s="1" t="s">
        <v>168</v>
      </c>
      <c r="C50" s="3">
        <v>343.38</v>
      </c>
      <c r="D50" s="3">
        <f t="shared" si="3"/>
        <v>489.16666666666669</v>
      </c>
      <c r="E50" s="6"/>
      <c r="F50" s="9">
        <f t="shared" si="1"/>
        <v>-145.78666666666669</v>
      </c>
      <c r="G50" s="3">
        <v>2901.3</v>
      </c>
      <c r="H50" s="3">
        <f t="shared" si="2"/>
        <v>3913.3333333333335</v>
      </c>
      <c r="I50" s="6"/>
      <c r="J50" s="9">
        <f t="shared" si="4"/>
        <v>1012.0333333333333</v>
      </c>
      <c r="K50" s="69">
        <v>5870</v>
      </c>
      <c r="M50" s="6"/>
      <c r="N50" s="102"/>
    </row>
    <row r="51" spans="1:14" x14ac:dyDescent="0.3">
      <c r="A51" s="1"/>
      <c r="B51" s="1" t="s">
        <v>169</v>
      </c>
      <c r="C51" s="3">
        <v>1805.88</v>
      </c>
      <c r="D51" s="3">
        <f t="shared" si="3"/>
        <v>2566.6666666666665</v>
      </c>
      <c r="E51" s="6"/>
      <c r="F51" s="9">
        <f t="shared" si="1"/>
        <v>-760.78666666666641</v>
      </c>
      <c r="G51" s="3">
        <v>18165.71</v>
      </c>
      <c r="H51" s="3">
        <f t="shared" si="2"/>
        <v>20533.333333333332</v>
      </c>
      <c r="I51" s="6"/>
      <c r="J51" s="9">
        <f t="shared" si="4"/>
        <v>2367.623333333333</v>
      </c>
      <c r="K51" s="69">
        <v>30800</v>
      </c>
      <c r="M51" s="6"/>
      <c r="N51" s="102"/>
    </row>
    <row r="52" spans="1:14" x14ac:dyDescent="0.3">
      <c r="A52" s="1"/>
      <c r="B52" s="1" t="s">
        <v>170</v>
      </c>
      <c r="C52" s="3">
        <v>2435</v>
      </c>
      <c r="D52" s="3">
        <f t="shared" ref="D52" si="5">SUM(K52/12)</f>
        <v>2941.6666666666665</v>
      </c>
      <c r="E52" s="6"/>
      <c r="F52" s="9">
        <f t="shared" ref="F52" si="6">SUM(C52-D52)</f>
        <v>-506.66666666666652</v>
      </c>
      <c r="G52" s="3">
        <v>108020</v>
      </c>
      <c r="H52" s="3">
        <f t="shared" si="2"/>
        <v>23533.333333333332</v>
      </c>
      <c r="I52" s="6"/>
      <c r="J52" s="9">
        <f t="shared" si="4"/>
        <v>-84486.666666666672</v>
      </c>
      <c r="K52" s="69">
        <v>35300</v>
      </c>
      <c r="M52" s="6"/>
      <c r="N52" s="102"/>
    </row>
    <row r="53" spans="1:14" x14ac:dyDescent="0.3">
      <c r="A53" s="1"/>
      <c r="B53" s="1" t="s">
        <v>171</v>
      </c>
      <c r="C53" s="3">
        <v>1334.06</v>
      </c>
      <c r="D53" s="3">
        <f t="shared" si="3"/>
        <v>1295</v>
      </c>
      <c r="E53" s="6"/>
      <c r="F53" s="9">
        <f t="shared" si="1"/>
        <v>39.059999999999945</v>
      </c>
      <c r="G53" s="3">
        <v>10501.5</v>
      </c>
      <c r="H53" s="3">
        <f t="shared" si="2"/>
        <v>10360</v>
      </c>
      <c r="I53" s="6"/>
      <c r="J53" s="9">
        <f t="shared" si="4"/>
        <v>-141.5</v>
      </c>
      <c r="K53" s="69">
        <v>15540</v>
      </c>
      <c r="M53" s="6"/>
      <c r="N53" s="102"/>
    </row>
    <row r="54" spans="1:14" x14ac:dyDescent="0.3">
      <c r="A54" s="1"/>
      <c r="B54" s="1" t="s">
        <v>172</v>
      </c>
      <c r="C54" s="3">
        <v>329.13</v>
      </c>
      <c r="D54" s="3">
        <f t="shared" si="3"/>
        <v>1131.4166666666667</v>
      </c>
      <c r="E54" s="6"/>
      <c r="F54" s="9">
        <f t="shared" si="1"/>
        <v>-802.28666666666675</v>
      </c>
      <c r="G54" s="3">
        <v>1049.32</v>
      </c>
      <c r="H54" s="3">
        <f t="shared" si="2"/>
        <v>9051.3333333333339</v>
      </c>
      <c r="I54" s="6"/>
      <c r="J54" s="9">
        <f t="shared" si="4"/>
        <v>8002.0133333333342</v>
      </c>
      <c r="K54" s="69">
        <v>13577</v>
      </c>
      <c r="M54" s="6"/>
      <c r="N54" s="102"/>
    </row>
    <row r="55" spans="1:14" x14ac:dyDescent="0.3">
      <c r="A55" s="1"/>
      <c r="B55" s="1" t="s">
        <v>173</v>
      </c>
      <c r="C55" s="3">
        <v>753.94</v>
      </c>
      <c r="D55" s="3">
        <f t="shared" si="3"/>
        <v>572.75</v>
      </c>
      <c r="E55" s="6"/>
      <c r="F55" s="9">
        <f t="shared" si="1"/>
        <v>181.19000000000005</v>
      </c>
      <c r="G55" s="3">
        <v>3107.39</v>
      </c>
      <c r="H55" s="3">
        <f t="shared" si="2"/>
        <v>4582</v>
      </c>
      <c r="I55" s="6"/>
      <c r="J55" s="9">
        <f t="shared" si="4"/>
        <v>1474.6100000000001</v>
      </c>
      <c r="K55" s="69">
        <v>6873</v>
      </c>
      <c r="M55" s="6"/>
      <c r="N55" s="102"/>
    </row>
    <row r="56" spans="1:14" x14ac:dyDescent="0.3">
      <c r="A56" s="1"/>
      <c r="B56" s="1" t="s">
        <v>174</v>
      </c>
      <c r="C56" s="3">
        <v>470</v>
      </c>
      <c r="D56" s="3">
        <f t="shared" si="3"/>
        <v>541.66666666666663</v>
      </c>
      <c r="E56" s="6"/>
      <c r="F56" s="9">
        <f t="shared" si="1"/>
        <v>-71.666666666666629</v>
      </c>
      <c r="G56" s="3">
        <v>4170</v>
      </c>
      <c r="H56" s="3">
        <f t="shared" si="2"/>
        <v>4333.333333333333</v>
      </c>
      <c r="I56" s="6"/>
      <c r="J56" s="9">
        <f t="shared" si="4"/>
        <v>163.33333333333303</v>
      </c>
      <c r="K56" s="69">
        <v>6500</v>
      </c>
      <c r="M56" s="6"/>
      <c r="N56" s="102"/>
    </row>
    <row r="57" spans="1:14" x14ac:dyDescent="0.3">
      <c r="A57" s="1"/>
      <c r="B57" s="1" t="s">
        <v>263</v>
      </c>
      <c r="C57" s="3">
        <v>0</v>
      </c>
      <c r="D57" s="3">
        <f t="shared" si="3"/>
        <v>17.416666666666668</v>
      </c>
      <c r="E57" s="6"/>
      <c r="F57" s="9">
        <f t="shared" si="1"/>
        <v>-17.416666666666668</v>
      </c>
      <c r="G57" s="3">
        <v>12126.35</v>
      </c>
      <c r="H57" s="3">
        <f t="shared" si="2"/>
        <v>139.33333333333334</v>
      </c>
      <c r="I57" s="6"/>
      <c r="J57" s="9">
        <f t="shared" ref="J57" si="7">H57-G57</f>
        <v>-11987.016666666666</v>
      </c>
      <c r="K57" s="69">
        <v>209</v>
      </c>
      <c r="M57" s="6"/>
      <c r="N57" s="102"/>
    </row>
    <row r="58" spans="1:14" x14ac:dyDescent="0.3">
      <c r="A58" s="1"/>
      <c r="B58" s="1" t="s">
        <v>175</v>
      </c>
      <c r="C58" s="3">
        <v>77.25</v>
      </c>
      <c r="D58" s="3">
        <f t="shared" si="3"/>
        <v>2075</v>
      </c>
      <c r="E58" s="6"/>
      <c r="F58" s="9">
        <f t="shared" si="1"/>
        <v>-1997.75</v>
      </c>
      <c r="G58" s="3">
        <v>26928.33</v>
      </c>
      <c r="H58" s="3">
        <f t="shared" si="2"/>
        <v>16600</v>
      </c>
      <c r="I58" s="6"/>
      <c r="J58" s="9">
        <f t="shared" si="4"/>
        <v>-10328.330000000002</v>
      </c>
      <c r="K58" s="69">
        <v>24900</v>
      </c>
      <c r="M58" s="6"/>
      <c r="N58" s="102"/>
    </row>
    <row r="59" spans="1:14" x14ac:dyDescent="0.3">
      <c r="A59" s="1"/>
      <c r="B59" s="1" t="s">
        <v>230</v>
      </c>
      <c r="C59" s="3">
        <v>7412.19</v>
      </c>
      <c r="D59" s="3">
        <f t="shared" si="3"/>
        <v>6858.392499999999</v>
      </c>
      <c r="E59" s="6"/>
      <c r="F59" s="9">
        <f t="shared" si="1"/>
        <v>553.79750000000058</v>
      </c>
      <c r="G59" s="3">
        <v>57681.99</v>
      </c>
      <c r="H59" s="3">
        <f t="shared" si="2"/>
        <v>54867.139999999992</v>
      </c>
      <c r="I59" s="6"/>
      <c r="J59" s="9">
        <f t="shared" si="4"/>
        <v>-2814.8500000000058</v>
      </c>
      <c r="K59" s="69">
        <v>82300.709999999992</v>
      </c>
      <c r="M59" s="6"/>
      <c r="N59" s="102"/>
    </row>
    <row r="60" spans="1:14" x14ac:dyDescent="0.3">
      <c r="A60" s="1"/>
      <c r="B60" s="1" t="s">
        <v>176</v>
      </c>
      <c r="C60" s="3">
        <v>0</v>
      </c>
      <c r="D60" s="3">
        <f t="shared" si="3"/>
        <v>1166.6666666666667</v>
      </c>
      <c r="E60" s="6"/>
      <c r="F60" s="9">
        <f t="shared" si="1"/>
        <v>-1166.6666666666667</v>
      </c>
      <c r="G60" s="3">
        <v>10928</v>
      </c>
      <c r="H60" s="3">
        <f t="shared" si="2"/>
        <v>9333.3333333333339</v>
      </c>
      <c r="I60" s="6"/>
      <c r="J60" s="9">
        <f t="shared" si="4"/>
        <v>-1594.6666666666661</v>
      </c>
      <c r="K60" s="69">
        <v>14000</v>
      </c>
      <c r="M60" s="6"/>
      <c r="N60" s="102"/>
    </row>
    <row r="61" spans="1:14" x14ac:dyDescent="0.3">
      <c r="A61" s="1"/>
      <c r="B61" s="1" t="s">
        <v>177</v>
      </c>
      <c r="C61" s="3">
        <v>1577.31</v>
      </c>
      <c r="D61" s="3">
        <f t="shared" si="3"/>
        <v>1000</v>
      </c>
      <c r="E61" s="6"/>
      <c r="F61" s="9">
        <f t="shared" si="1"/>
        <v>577.30999999999995</v>
      </c>
      <c r="G61" s="3">
        <v>4846.72</v>
      </c>
      <c r="H61" s="3">
        <f t="shared" si="2"/>
        <v>8000</v>
      </c>
      <c r="I61" s="6"/>
      <c r="J61" s="9">
        <f t="shared" si="4"/>
        <v>3153.2799999999997</v>
      </c>
      <c r="K61" s="69">
        <v>12000</v>
      </c>
      <c r="M61" s="6"/>
      <c r="N61" s="102"/>
    </row>
    <row r="62" spans="1:14" x14ac:dyDescent="0.3">
      <c r="A62" s="1"/>
      <c r="B62" s="1" t="s">
        <v>178</v>
      </c>
      <c r="C62" s="3">
        <v>33663.68</v>
      </c>
      <c r="D62" s="3">
        <f t="shared" si="3"/>
        <v>36714.66583333334</v>
      </c>
      <c r="E62" s="6"/>
      <c r="F62" s="9">
        <f t="shared" si="1"/>
        <v>-3050.9858333333395</v>
      </c>
      <c r="G62" s="3">
        <v>276631.33</v>
      </c>
      <c r="H62" s="3">
        <f t="shared" si="2"/>
        <v>293717.32666666672</v>
      </c>
      <c r="I62" s="6"/>
      <c r="J62" s="9">
        <f t="shared" si="4"/>
        <v>17085.996666666702</v>
      </c>
      <c r="K62" s="69">
        <v>440575.99000000005</v>
      </c>
      <c r="M62" s="6"/>
      <c r="N62" s="102"/>
    </row>
    <row r="63" spans="1:14" x14ac:dyDescent="0.3">
      <c r="A63" s="1"/>
      <c r="B63" s="1" t="s">
        <v>179</v>
      </c>
      <c r="C63" s="3">
        <v>18390.96</v>
      </c>
      <c r="D63" s="3">
        <f t="shared" si="3"/>
        <v>19812.25</v>
      </c>
      <c r="E63" s="6"/>
      <c r="F63" s="9">
        <f t="shared" si="1"/>
        <v>-1421.2900000000009</v>
      </c>
      <c r="G63" s="3">
        <v>91801.61</v>
      </c>
      <c r="H63" s="3">
        <f t="shared" si="2"/>
        <v>158498</v>
      </c>
      <c r="I63" s="6"/>
      <c r="J63" s="9">
        <f t="shared" si="4"/>
        <v>66696.39</v>
      </c>
      <c r="K63" s="69">
        <v>237747</v>
      </c>
      <c r="M63" s="6"/>
      <c r="N63" s="102"/>
    </row>
    <row r="64" spans="1:14" x14ac:dyDescent="0.3">
      <c r="A64" s="1"/>
      <c r="B64" s="1" t="s">
        <v>180</v>
      </c>
      <c r="C64" s="3">
        <v>16549.310000000001</v>
      </c>
      <c r="D64" s="3">
        <f t="shared" si="3"/>
        <v>13413.291666666666</v>
      </c>
      <c r="E64" s="6"/>
      <c r="F64" s="9">
        <f t="shared" si="1"/>
        <v>3136.0183333333352</v>
      </c>
      <c r="G64" s="3">
        <v>134151.82</v>
      </c>
      <c r="H64" s="3">
        <f t="shared" si="2"/>
        <v>107306.33333333333</v>
      </c>
      <c r="I64" s="6"/>
      <c r="J64" s="9">
        <f t="shared" si="4"/>
        <v>-26845.486666666679</v>
      </c>
      <c r="K64" s="69">
        <v>160959.5</v>
      </c>
      <c r="M64" s="6"/>
      <c r="N64" s="102"/>
    </row>
    <row r="65" spans="1:15" x14ac:dyDescent="0.3">
      <c r="A65" s="1"/>
      <c r="B65" s="1" t="s">
        <v>181</v>
      </c>
      <c r="C65" s="3">
        <v>2117.4899999999998</v>
      </c>
      <c r="D65" s="3">
        <f t="shared" si="3"/>
        <v>1626.6500000000003</v>
      </c>
      <c r="E65" s="6"/>
      <c r="F65" s="9">
        <f t="shared" si="1"/>
        <v>490.83999999999946</v>
      </c>
      <c r="G65" s="3">
        <v>11201.03</v>
      </c>
      <c r="H65" s="3">
        <f t="shared" si="2"/>
        <v>13013.200000000003</v>
      </c>
      <c r="I65" s="6"/>
      <c r="J65" s="9">
        <f t="shared" si="4"/>
        <v>1812.1700000000019</v>
      </c>
      <c r="K65" s="69">
        <v>19519.800000000003</v>
      </c>
      <c r="M65" s="6"/>
      <c r="N65" s="102"/>
    </row>
    <row r="66" spans="1:15" x14ac:dyDescent="0.3">
      <c r="A66" s="1"/>
      <c r="B66" s="1" t="s">
        <v>182</v>
      </c>
      <c r="C66" s="3">
        <v>0</v>
      </c>
      <c r="D66" s="3">
        <f t="shared" si="3"/>
        <v>254.75</v>
      </c>
      <c r="E66" s="6"/>
      <c r="F66" s="9">
        <f t="shared" si="1"/>
        <v>-254.75</v>
      </c>
      <c r="G66" s="3">
        <v>0</v>
      </c>
      <c r="H66" s="3">
        <f t="shared" si="2"/>
        <v>2038</v>
      </c>
      <c r="I66" s="6"/>
      <c r="J66" s="9">
        <f t="shared" si="4"/>
        <v>2038</v>
      </c>
      <c r="K66" s="69">
        <v>3057</v>
      </c>
      <c r="M66" s="6"/>
      <c r="N66" s="102"/>
    </row>
    <row r="67" spans="1:15" x14ac:dyDescent="0.3">
      <c r="A67" s="1"/>
      <c r="B67" s="1" t="s">
        <v>183</v>
      </c>
      <c r="C67" s="3">
        <v>0</v>
      </c>
      <c r="D67" s="3">
        <f t="shared" si="3"/>
        <v>25</v>
      </c>
      <c r="E67" s="6"/>
      <c r="F67" s="9">
        <f t="shared" si="1"/>
        <v>-25</v>
      </c>
      <c r="G67" s="3">
        <v>416.99</v>
      </c>
      <c r="H67" s="3">
        <f t="shared" si="2"/>
        <v>200</v>
      </c>
      <c r="I67" s="6"/>
      <c r="J67" s="9">
        <f t="shared" si="4"/>
        <v>-216.99</v>
      </c>
      <c r="K67" s="69">
        <v>300</v>
      </c>
      <c r="M67" s="6"/>
      <c r="N67" s="102"/>
    </row>
    <row r="68" spans="1:15" x14ac:dyDescent="0.3">
      <c r="A68" s="1"/>
      <c r="B68" s="1" t="s">
        <v>184</v>
      </c>
      <c r="C68" s="3">
        <v>0</v>
      </c>
      <c r="D68" s="3">
        <f t="shared" si="3"/>
        <v>1058</v>
      </c>
      <c r="E68" s="6"/>
      <c r="F68" s="9">
        <f t="shared" si="1"/>
        <v>-1058</v>
      </c>
      <c r="G68" s="3">
        <v>6645.08</v>
      </c>
      <c r="H68" s="3">
        <f t="shared" si="2"/>
        <v>8464</v>
      </c>
      <c r="I68" s="6"/>
      <c r="J68" s="9">
        <f t="shared" si="4"/>
        <v>1818.92</v>
      </c>
      <c r="K68" s="69">
        <v>12696</v>
      </c>
      <c r="M68" s="6"/>
      <c r="N68" s="102"/>
    </row>
    <row r="69" spans="1:15" x14ac:dyDescent="0.3">
      <c r="A69" s="1"/>
      <c r="B69" s="1" t="s">
        <v>215</v>
      </c>
      <c r="C69" s="3">
        <v>0</v>
      </c>
      <c r="D69" s="3">
        <f t="shared" si="3"/>
        <v>5602</v>
      </c>
      <c r="E69" s="6"/>
      <c r="F69" s="9">
        <f t="shared" si="1"/>
        <v>-5602</v>
      </c>
      <c r="G69" s="3">
        <v>18566.330000000002</v>
      </c>
      <c r="H69" s="3">
        <f t="shared" si="2"/>
        <v>44816</v>
      </c>
      <c r="I69" s="6"/>
      <c r="J69" s="9">
        <f t="shared" si="4"/>
        <v>26249.67</v>
      </c>
      <c r="K69" s="69">
        <f>43192+24032</f>
        <v>67224</v>
      </c>
      <c r="M69" s="6"/>
      <c r="N69" s="102"/>
      <c r="O69" s="6"/>
    </row>
    <row r="70" spans="1:15" x14ac:dyDescent="0.3">
      <c r="A70" s="1"/>
      <c r="B70" s="1" t="s">
        <v>185</v>
      </c>
      <c r="C70" s="3">
        <v>0</v>
      </c>
      <c r="D70" s="3">
        <f t="shared" si="3"/>
        <v>24.833333333333332</v>
      </c>
      <c r="E70" s="6"/>
      <c r="F70" s="9">
        <f t="shared" si="1"/>
        <v>-24.833333333333332</v>
      </c>
      <c r="G70" s="3">
        <v>453.4</v>
      </c>
      <c r="H70" s="3">
        <f t="shared" si="2"/>
        <v>198.66666666666666</v>
      </c>
      <c r="I70" s="6"/>
      <c r="J70" s="9">
        <f t="shared" si="4"/>
        <v>-254.73333333333332</v>
      </c>
      <c r="K70" s="69">
        <v>298</v>
      </c>
      <c r="N70" s="102"/>
    </row>
    <row r="71" spans="1:15" x14ac:dyDescent="0.3">
      <c r="A71" s="1"/>
      <c r="B71" s="1" t="s">
        <v>186</v>
      </c>
      <c r="C71" s="3">
        <v>4166.67</v>
      </c>
      <c r="D71" s="3">
        <f t="shared" si="3"/>
        <v>8333</v>
      </c>
      <c r="E71" s="6"/>
      <c r="F71" s="9">
        <f t="shared" si="1"/>
        <v>-4166.33</v>
      </c>
      <c r="G71" s="3">
        <v>44085.42</v>
      </c>
      <c r="H71" s="3">
        <f t="shared" si="2"/>
        <v>66664</v>
      </c>
      <c r="I71" s="6"/>
      <c r="J71" s="9">
        <f t="shared" si="4"/>
        <v>22578.58</v>
      </c>
      <c r="K71" s="69">
        <v>99996</v>
      </c>
      <c r="M71" s="6"/>
      <c r="N71" s="102"/>
    </row>
    <row r="72" spans="1:15" x14ac:dyDescent="0.3">
      <c r="A72" s="1"/>
      <c r="B72" s="1" t="s">
        <v>187</v>
      </c>
      <c r="C72" s="3">
        <v>0</v>
      </c>
      <c r="D72" s="3">
        <f t="shared" si="3"/>
        <v>0</v>
      </c>
      <c r="E72" s="6"/>
      <c r="F72" s="9">
        <f t="shared" si="1"/>
        <v>0</v>
      </c>
      <c r="G72" s="3">
        <v>0</v>
      </c>
      <c r="H72" s="3">
        <f t="shared" si="2"/>
        <v>0</v>
      </c>
      <c r="I72" s="6"/>
      <c r="J72" s="9">
        <f t="shared" si="4"/>
        <v>0</v>
      </c>
      <c r="K72" s="69"/>
      <c r="N72" s="102"/>
    </row>
    <row r="73" spans="1:15" x14ac:dyDescent="0.3">
      <c r="A73" s="1"/>
      <c r="B73" s="1" t="s">
        <v>188</v>
      </c>
      <c r="C73" s="3">
        <v>0</v>
      </c>
      <c r="D73" s="3">
        <f t="shared" si="3"/>
        <v>989.66666666666663</v>
      </c>
      <c r="E73" s="6"/>
      <c r="F73" s="9">
        <f t="shared" si="1"/>
        <v>-989.66666666666663</v>
      </c>
      <c r="G73" s="3">
        <v>0</v>
      </c>
      <c r="H73" s="3">
        <f t="shared" si="2"/>
        <v>7917.333333333333</v>
      </c>
      <c r="I73" s="6"/>
      <c r="J73" s="9">
        <f t="shared" si="4"/>
        <v>7917.333333333333</v>
      </c>
      <c r="K73" s="69">
        <v>11876</v>
      </c>
      <c r="N73" s="102"/>
    </row>
    <row r="74" spans="1:15" x14ac:dyDescent="0.3">
      <c r="A74" s="1"/>
      <c r="B74" s="1" t="s">
        <v>189</v>
      </c>
      <c r="C74" s="3">
        <v>-87943.12</v>
      </c>
      <c r="D74" s="3">
        <f t="shared" si="3"/>
        <v>18171.083333333332</v>
      </c>
      <c r="E74" s="6"/>
      <c r="F74" s="9">
        <f t="shared" si="1"/>
        <v>-106114.20333333332</v>
      </c>
      <c r="G74" s="3">
        <v>37059.94</v>
      </c>
      <c r="H74" s="3">
        <f t="shared" si="2"/>
        <v>145368.66666666666</v>
      </c>
      <c r="I74" s="6"/>
      <c r="J74" s="9">
        <f t="shared" si="4"/>
        <v>108308.72666666665</v>
      </c>
      <c r="K74" s="69">
        <v>218053</v>
      </c>
      <c r="M74" s="6"/>
      <c r="N74" s="102"/>
    </row>
    <row r="75" spans="1:15" x14ac:dyDescent="0.3">
      <c r="A75" s="1"/>
      <c r="B75" s="1" t="s">
        <v>190</v>
      </c>
      <c r="C75" s="3">
        <v>-7379.58</v>
      </c>
      <c r="D75" s="3">
        <f t="shared" si="3"/>
        <v>4169.666666666667</v>
      </c>
      <c r="E75" s="6"/>
      <c r="F75" s="9">
        <f t="shared" si="1"/>
        <v>-11549.246666666666</v>
      </c>
      <c r="G75" s="3">
        <v>20469.68</v>
      </c>
      <c r="H75" s="3">
        <f t="shared" si="2"/>
        <v>33357.333333333336</v>
      </c>
      <c r="I75" s="6"/>
      <c r="J75" s="9">
        <f t="shared" si="4"/>
        <v>12887.653333333335</v>
      </c>
      <c r="K75" s="69">
        <v>50036</v>
      </c>
      <c r="M75" s="6"/>
      <c r="N75" s="102"/>
    </row>
    <row r="76" spans="1:15" x14ac:dyDescent="0.3">
      <c r="A76" s="1"/>
      <c r="B76" s="1" t="s">
        <v>191</v>
      </c>
      <c r="C76" s="3">
        <v>188.92</v>
      </c>
      <c r="D76" s="3">
        <f t="shared" si="3"/>
        <v>175</v>
      </c>
      <c r="E76" s="6"/>
      <c r="F76" s="9">
        <f t="shared" si="1"/>
        <v>13.919999999999987</v>
      </c>
      <c r="G76" s="3">
        <v>1372.83</v>
      </c>
      <c r="H76" s="3">
        <f t="shared" si="2"/>
        <v>1400</v>
      </c>
      <c r="I76" s="6"/>
      <c r="J76" s="9">
        <f t="shared" si="4"/>
        <v>27.170000000000073</v>
      </c>
      <c r="K76" s="69">
        <v>2100</v>
      </c>
      <c r="M76" s="6"/>
      <c r="N76" s="102"/>
    </row>
    <row r="77" spans="1:15" x14ac:dyDescent="0.3">
      <c r="A77" s="1"/>
      <c r="B77" s="1" t="s">
        <v>192</v>
      </c>
      <c r="C77" s="3">
        <v>9639.44</v>
      </c>
      <c r="D77" s="3">
        <f t="shared" si="3"/>
        <v>6077.6650000000009</v>
      </c>
      <c r="E77" s="6"/>
      <c r="F77" s="9">
        <f t="shared" si="1"/>
        <v>3561.7749999999996</v>
      </c>
      <c r="G77" s="3">
        <v>50001.15</v>
      </c>
      <c r="H77" s="3">
        <f t="shared" si="2"/>
        <v>48621.320000000007</v>
      </c>
      <c r="I77" s="6"/>
      <c r="J77" s="9">
        <f t="shared" si="4"/>
        <v>-1379.8299999999945</v>
      </c>
      <c r="K77" s="69">
        <v>72931.98000000001</v>
      </c>
      <c r="M77" s="6"/>
      <c r="N77" s="102"/>
    </row>
    <row r="78" spans="1:15" x14ac:dyDescent="0.3">
      <c r="A78" s="1"/>
      <c r="B78" s="1" t="s">
        <v>217</v>
      </c>
      <c r="C78" s="3">
        <v>14396.5</v>
      </c>
      <c r="D78" s="3">
        <f t="shared" ref="D78" si="8">SUM(K78/12)</f>
        <v>14622.191666666666</v>
      </c>
      <c r="E78" s="6"/>
      <c r="F78" s="9">
        <f t="shared" si="1"/>
        <v>-225.6916666666657</v>
      </c>
      <c r="G78" s="3">
        <v>125413.33</v>
      </c>
      <c r="H78" s="3">
        <f t="shared" si="2"/>
        <v>116977.53333333333</v>
      </c>
      <c r="I78" s="6"/>
      <c r="J78" s="9">
        <f t="shared" si="4"/>
        <v>-8435.7966666666762</v>
      </c>
      <c r="K78" s="69">
        <v>175466.3</v>
      </c>
      <c r="M78" s="6"/>
      <c r="N78" s="102"/>
    </row>
    <row r="79" spans="1:15" x14ac:dyDescent="0.3">
      <c r="A79" s="1"/>
      <c r="B79" s="1" t="s">
        <v>193</v>
      </c>
      <c r="C79" s="3">
        <v>4500</v>
      </c>
      <c r="D79" s="3">
        <f t="shared" si="3"/>
        <v>4511</v>
      </c>
      <c r="E79" s="6"/>
      <c r="F79" s="9">
        <f t="shared" si="1"/>
        <v>-11</v>
      </c>
      <c r="G79" s="3">
        <v>36000</v>
      </c>
      <c r="H79" s="3">
        <f t="shared" si="2"/>
        <v>36088</v>
      </c>
      <c r="I79" s="6"/>
      <c r="J79" s="9">
        <f t="shared" si="4"/>
        <v>88</v>
      </c>
      <c r="K79" s="69">
        <v>54132</v>
      </c>
      <c r="M79" s="6"/>
      <c r="N79" s="102"/>
    </row>
    <row r="80" spans="1:15" x14ac:dyDescent="0.3">
      <c r="A80" s="1"/>
      <c r="B80" s="1" t="s">
        <v>194</v>
      </c>
      <c r="C80" s="3">
        <v>1666.67</v>
      </c>
      <c r="D80" s="3">
        <f t="shared" si="3"/>
        <v>1666.67</v>
      </c>
      <c r="E80" s="6"/>
      <c r="F80" s="9">
        <f t="shared" si="1"/>
        <v>0</v>
      </c>
      <c r="G80" s="3">
        <v>13333.36</v>
      </c>
      <c r="H80" s="3">
        <f t="shared" si="2"/>
        <v>13333.36</v>
      </c>
      <c r="I80" s="6"/>
      <c r="J80" s="9">
        <f t="shared" si="4"/>
        <v>0</v>
      </c>
      <c r="K80" s="69">
        <v>20000.04</v>
      </c>
      <c r="M80" s="6"/>
      <c r="N80" s="102"/>
    </row>
    <row r="81" spans="1:15" x14ac:dyDescent="0.3">
      <c r="A81" s="1"/>
      <c r="B81" s="1" t="s">
        <v>195</v>
      </c>
      <c r="C81" s="3">
        <v>0</v>
      </c>
      <c r="D81" s="3">
        <f t="shared" si="3"/>
        <v>0</v>
      </c>
      <c r="E81" s="6"/>
      <c r="F81" s="9">
        <f t="shared" si="1"/>
        <v>0</v>
      </c>
      <c r="G81" s="3">
        <v>0</v>
      </c>
      <c r="H81" s="3">
        <f t="shared" si="2"/>
        <v>0</v>
      </c>
      <c r="I81" s="6"/>
      <c r="J81" s="9">
        <f t="shared" si="4"/>
        <v>0</v>
      </c>
      <c r="K81" s="69"/>
      <c r="M81" s="6"/>
      <c r="N81" s="102"/>
    </row>
    <row r="82" spans="1:15" x14ac:dyDescent="0.3">
      <c r="A82" s="1"/>
      <c r="B82" s="1" t="s">
        <v>196</v>
      </c>
      <c r="C82" s="3">
        <v>1067.5</v>
      </c>
      <c r="D82" s="3">
        <f t="shared" si="3"/>
        <v>1067.5</v>
      </c>
      <c r="E82" s="6"/>
      <c r="F82" s="9">
        <f t="shared" si="1"/>
        <v>0</v>
      </c>
      <c r="G82" s="3">
        <v>8540</v>
      </c>
      <c r="H82" s="3">
        <f t="shared" si="2"/>
        <v>8540</v>
      </c>
      <c r="I82" s="6"/>
      <c r="J82" s="9">
        <f t="shared" si="4"/>
        <v>0</v>
      </c>
      <c r="K82" s="69">
        <v>12810</v>
      </c>
      <c r="M82" s="6"/>
      <c r="N82" s="102"/>
    </row>
    <row r="83" spans="1:15" x14ac:dyDescent="0.3">
      <c r="A83" s="1"/>
      <c r="B83" s="1" t="s">
        <v>266</v>
      </c>
      <c r="C83" s="3">
        <v>1500</v>
      </c>
      <c r="D83" s="3">
        <f t="shared" ref="D83" si="9">SUM(K83/12)</f>
        <v>1500</v>
      </c>
      <c r="E83" s="6"/>
      <c r="F83" s="9">
        <f t="shared" ref="F83" si="10">SUM(C83-D83)</f>
        <v>0</v>
      </c>
      <c r="G83" s="3">
        <v>12000</v>
      </c>
      <c r="H83" s="3">
        <f t="shared" ref="H83" si="11">SUM(D83*T$13)</f>
        <v>12000</v>
      </c>
      <c r="I83" s="6"/>
      <c r="J83" s="9">
        <f t="shared" ref="J83" si="12">H83-G83</f>
        <v>0</v>
      </c>
      <c r="K83" s="69">
        <v>18000</v>
      </c>
      <c r="M83" s="6"/>
      <c r="N83" s="102"/>
    </row>
    <row r="84" spans="1:15" x14ac:dyDescent="0.3">
      <c r="A84" s="1"/>
      <c r="B84" s="1" t="s">
        <v>197</v>
      </c>
      <c r="C84" s="3">
        <v>4234.6499999999996</v>
      </c>
      <c r="D84" s="3">
        <f t="shared" si="3"/>
        <v>10683.333333333334</v>
      </c>
      <c r="E84" s="6"/>
      <c r="F84" s="9">
        <f t="shared" si="1"/>
        <v>-6448.6833333333343</v>
      </c>
      <c r="G84" s="3">
        <v>49294.91</v>
      </c>
      <c r="H84" s="3">
        <f t="shared" si="2"/>
        <v>85466.666666666672</v>
      </c>
      <c r="I84" s="6"/>
      <c r="J84" s="9">
        <f t="shared" si="4"/>
        <v>36171.756666666668</v>
      </c>
      <c r="K84" s="69">
        <v>128200</v>
      </c>
      <c r="N84" s="102"/>
    </row>
    <row r="85" spans="1:15" x14ac:dyDescent="0.3">
      <c r="A85" s="1"/>
      <c r="K85" s="70"/>
      <c r="N85" s="102"/>
    </row>
    <row r="86" spans="1:15" x14ac:dyDescent="0.3">
      <c r="A86" s="1"/>
      <c r="B86" s="2" t="s">
        <v>18</v>
      </c>
      <c r="C86" s="62">
        <f>SUM(C46:C85)</f>
        <v>194604.90000000002</v>
      </c>
      <c r="D86" s="62">
        <f>SUM(D46:D85)</f>
        <v>200081.25</v>
      </c>
      <c r="E86" s="63">
        <f t="shared" ref="E86" si="13">((C86-D86)/D86)*100</f>
        <v>-2.737063068128561</v>
      </c>
      <c r="F86" s="64">
        <f>SUM(F46:F84)</f>
        <v>-5476.3500000000058</v>
      </c>
      <c r="G86" s="62">
        <f>SUM(G46:G85)</f>
        <v>1596153.6999999997</v>
      </c>
      <c r="H86" s="62">
        <f>SUM(H46:H85)</f>
        <v>1600650</v>
      </c>
      <c r="I86" s="63">
        <f>((G86-H86)/H86)*100</f>
        <v>-0.28090463249306719</v>
      </c>
      <c r="J86" s="64">
        <f>SUM(J46:J84)</f>
        <v>4496.299999999952</v>
      </c>
      <c r="K86" s="70">
        <f>SUM(K46:K85)</f>
        <v>2400975</v>
      </c>
      <c r="L86" s="68"/>
      <c r="N86" s="5">
        <f>1493995.2-59258.1</f>
        <v>1434737.0999999999</v>
      </c>
      <c r="O86" s="5">
        <f>N86-G86</f>
        <v>-161416.59999999986</v>
      </c>
    </row>
    <row r="87" spans="1:15" x14ac:dyDescent="0.3">
      <c r="A87" s="1"/>
      <c r="C87" s="6"/>
      <c r="G87" s="6"/>
      <c r="K87" s="70"/>
      <c r="N87" s="102"/>
    </row>
    <row r="88" spans="1:15" x14ac:dyDescent="0.3">
      <c r="A88" s="1"/>
      <c r="C88" s="6"/>
      <c r="G88" s="6"/>
      <c r="K88" s="70"/>
      <c r="N88" s="102"/>
    </row>
    <row r="89" spans="1:15" x14ac:dyDescent="0.3">
      <c r="A89" s="1"/>
      <c r="K89" s="70"/>
      <c r="N89" s="102"/>
    </row>
    <row r="90" spans="1:15" x14ac:dyDescent="0.3">
      <c r="A90" s="1"/>
      <c r="B90" s="1" t="s">
        <v>19</v>
      </c>
      <c r="C90" s="3">
        <v>39325.35</v>
      </c>
      <c r="D90" s="3">
        <f t="shared" ref="D90:D94" si="14">SUM(K90/12)</f>
        <v>62730.893333333333</v>
      </c>
      <c r="E90" s="6"/>
      <c r="F90" s="9">
        <f>SUM(C90-D90)</f>
        <v>-23405.543333333335</v>
      </c>
      <c r="G90" s="3">
        <v>413605.82</v>
      </c>
      <c r="H90" s="3">
        <f>SUM(D90*T$13)</f>
        <v>501847.14666666667</v>
      </c>
      <c r="I90" s="6"/>
      <c r="J90" s="9">
        <f>H90-G90</f>
        <v>88241.32666666666</v>
      </c>
      <c r="K90" s="3">
        <v>752770.72</v>
      </c>
      <c r="N90" s="102"/>
    </row>
    <row r="91" spans="1:15" x14ac:dyDescent="0.3">
      <c r="B91" s="1" t="s">
        <v>20</v>
      </c>
      <c r="C91" s="3">
        <v>3429.56</v>
      </c>
      <c r="D91" s="3">
        <f t="shared" si="14"/>
        <v>4005.1066666666666</v>
      </c>
      <c r="E91" s="6"/>
      <c r="F91" s="9">
        <f>SUM(C91-D91)</f>
        <v>-575.54666666666662</v>
      </c>
      <c r="G91" s="3">
        <v>44242.91</v>
      </c>
      <c r="H91" s="3">
        <f>SUM(D91*T$13)</f>
        <v>32040.853333333333</v>
      </c>
      <c r="I91" s="6"/>
      <c r="J91" s="9">
        <f t="shared" ref="J91:J94" si="15">H91-G91</f>
        <v>-12202.056666666671</v>
      </c>
      <c r="K91" s="3">
        <v>48061.279999999999</v>
      </c>
      <c r="N91" s="102"/>
    </row>
    <row r="92" spans="1:15" x14ac:dyDescent="0.3">
      <c r="B92" s="1" t="s">
        <v>21</v>
      </c>
      <c r="C92" s="3">
        <v>51.83</v>
      </c>
      <c r="D92" s="3">
        <f t="shared" si="14"/>
        <v>65.511464583023027</v>
      </c>
      <c r="E92" s="6"/>
      <c r="F92" s="9">
        <f>SUM(C92-D92)</f>
        <v>-13.681464583023029</v>
      </c>
      <c r="G92" s="3">
        <v>484.64</v>
      </c>
      <c r="H92" s="3">
        <f>SUM(D92*T$13)</f>
        <v>524.09171666418422</v>
      </c>
      <c r="I92" s="6"/>
      <c r="J92" s="9">
        <f t="shared" si="15"/>
        <v>39.451716664184232</v>
      </c>
      <c r="K92" s="3">
        <v>786.13757499627627</v>
      </c>
      <c r="N92" s="102"/>
    </row>
    <row r="93" spans="1:15" x14ac:dyDescent="0.3">
      <c r="B93" s="1" t="s">
        <v>22</v>
      </c>
      <c r="C93" s="3">
        <v>2059.59</v>
      </c>
      <c r="D93" s="3">
        <f t="shared" si="14"/>
        <v>6384.4524999999994</v>
      </c>
      <c r="E93" s="6"/>
      <c r="F93" s="9">
        <f>SUM(C93-D93)</f>
        <v>-4324.8624999999993</v>
      </c>
      <c r="G93" s="3">
        <v>31160.080000000002</v>
      </c>
      <c r="H93" s="3">
        <f>SUM(D93*T$13)</f>
        <v>51075.619999999995</v>
      </c>
      <c r="I93" s="6"/>
      <c r="J93" s="9">
        <f t="shared" si="15"/>
        <v>19915.539999999994</v>
      </c>
      <c r="K93" s="3">
        <v>76613.429999999993</v>
      </c>
      <c r="N93" s="102"/>
    </row>
    <row r="94" spans="1:15" x14ac:dyDescent="0.3">
      <c r="B94" s="1" t="s">
        <v>146</v>
      </c>
      <c r="C94" s="3">
        <v>0</v>
      </c>
      <c r="D94" s="3">
        <f t="shared" si="14"/>
        <v>0</v>
      </c>
      <c r="E94" s="6"/>
      <c r="F94" s="9">
        <f>SUM(C94-D94)</f>
        <v>0</v>
      </c>
      <c r="G94" s="3"/>
      <c r="H94" s="3">
        <f>SUM(D94*T$13)</f>
        <v>0</v>
      </c>
      <c r="I94" s="6"/>
      <c r="J94" s="9">
        <f t="shared" si="15"/>
        <v>0</v>
      </c>
      <c r="K94" s="3"/>
      <c r="N94" s="102"/>
    </row>
    <row r="95" spans="1:15" x14ac:dyDescent="0.3">
      <c r="N95" s="102"/>
    </row>
    <row r="96" spans="1:15" x14ac:dyDescent="0.3">
      <c r="B96" s="2" t="s">
        <v>23</v>
      </c>
      <c r="C96" s="62">
        <f>SUM(C90:C95)</f>
        <v>44866.33</v>
      </c>
      <c r="D96" s="62">
        <f>SUM(D90:D95)</f>
        <v>73185.963964583018</v>
      </c>
      <c r="E96" s="63">
        <f t="shared" ref="E96" si="16">((C96-D96)/D96)*100</f>
        <v>-38.695444359095653</v>
      </c>
      <c r="F96" s="65">
        <f>SUM(F90:F94)</f>
        <v>-28319.633964583023</v>
      </c>
      <c r="G96" s="62">
        <f>SUM(G90:G95)</f>
        <v>489493.45</v>
      </c>
      <c r="H96" s="62">
        <f>SUM(H90:H95)</f>
        <v>585487.71171666414</v>
      </c>
      <c r="I96" s="63">
        <f>((G96-H96)/H96)*100</f>
        <v>-16.395606567934042</v>
      </c>
      <c r="J96" s="65">
        <f>SUM(J90:J94)</f>
        <v>95994.261716664172</v>
      </c>
      <c r="K96" s="68">
        <f t="shared" ref="K96" si="17">SUM(K90:K95)</f>
        <v>878231.56757499627</v>
      </c>
      <c r="N96" s="5">
        <v>564298.66</v>
      </c>
      <c r="O96" s="5">
        <f>N96-G96</f>
        <v>74805.210000000021</v>
      </c>
    </row>
    <row r="97" spans="1:15" x14ac:dyDescent="0.3">
      <c r="N97" s="102"/>
    </row>
    <row r="98" spans="1:15" x14ac:dyDescent="0.3">
      <c r="B98" s="2" t="s">
        <v>24</v>
      </c>
      <c r="C98" s="62">
        <f t="shared" ref="C98:J98" si="18">+C86+C96</f>
        <v>239471.23000000004</v>
      </c>
      <c r="D98" s="62">
        <f t="shared" si="18"/>
        <v>273267.213964583</v>
      </c>
      <c r="E98" s="62">
        <f t="shared" si="18"/>
        <v>-41.432507427224216</v>
      </c>
      <c r="F98" s="62">
        <f t="shared" si="18"/>
        <v>-33795.983964583029</v>
      </c>
      <c r="G98" s="62">
        <f t="shared" si="18"/>
        <v>2085647.1499999997</v>
      </c>
      <c r="H98" s="62">
        <f t="shared" si="18"/>
        <v>2186137.711716664</v>
      </c>
      <c r="I98" s="62">
        <f t="shared" si="18"/>
        <v>-16.676511200427107</v>
      </c>
      <c r="J98" s="62">
        <f t="shared" si="18"/>
        <v>100490.56171666412</v>
      </c>
      <c r="K98" s="68">
        <f t="shared" ref="K98" si="19">SUM(K86,K96)</f>
        <v>3279206.5675749965</v>
      </c>
      <c r="L98" s="68"/>
      <c r="N98" s="5">
        <f>N96+N86</f>
        <v>1999035.7599999998</v>
      </c>
      <c r="O98" s="5">
        <f>N98-G98</f>
        <v>-86611.389999999898</v>
      </c>
    </row>
    <row r="99" spans="1:15" x14ac:dyDescent="0.3">
      <c r="N99" s="102"/>
    </row>
    <row r="100" spans="1:15" x14ac:dyDescent="0.3">
      <c r="B100" s="15" t="s">
        <v>69</v>
      </c>
      <c r="C100" s="24">
        <f>SUM(C98/C21)*100%</f>
        <v>2.9973190885153787E-2</v>
      </c>
      <c r="D100" s="18"/>
      <c r="E100" s="18"/>
      <c r="F100" s="18"/>
      <c r="G100" s="24">
        <f>SUM(G98/G21)*100%</f>
        <v>3.2470171598027231E-2</v>
      </c>
      <c r="K100" s="24">
        <f>SUM(K98/K17)*100%</f>
        <v>4.0990082094687456E-2</v>
      </c>
      <c r="N100" s="24">
        <f>SUM(N98/N21)*100%</f>
        <v>4.1425347121429125E-2</v>
      </c>
    </row>
    <row r="101" spans="1:15" x14ac:dyDescent="0.3">
      <c r="N101" s="102"/>
    </row>
    <row r="102" spans="1:15" x14ac:dyDescent="0.3">
      <c r="B102" s="2" t="s">
        <v>25</v>
      </c>
      <c r="C102" s="5">
        <f>+C21-C35-(C86+C96)</f>
        <v>2083793.3300000015</v>
      </c>
      <c r="D102" s="23" t="s">
        <v>72</v>
      </c>
      <c r="E102" s="23" t="s">
        <v>72</v>
      </c>
      <c r="F102" s="23"/>
      <c r="G102" s="5">
        <f>+G21-G35-(G86+G96)</f>
        <v>9661359.0399999972</v>
      </c>
      <c r="H102" s="62">
        <f>K102/12*T13</f>
        <v>5982750.954950002</v>
      </c>
      <c r="I102" s="62"/>
      <c r="J102" s="62">
        <f>G102-H102</f>
        <v>3678608.0850499952</v>
      </c>
      <c r="K102" s="5">
        <f>+K21-K35-(K86+K96)</f>
        <v>8974126.4324250035</v>
      </c>
      <c r="N102" s="5">
        <f>N40-N98</f>
        <v>5228033.8999999966</v>
      </c>
      <c r="O102" s="5">
        <f>G102-N102</f>
        <v>4433325.1400000006</v>
      </c>
    </row>
    <row r="103" spans="1:15" x14ac:dyDescent="0.3">
      <c r="K103"/>
      <c r="N103" s="102"/>
    </row>
    <row r="104" spans="1:15" x14ac:dyDescent="0.3">
      <c r="B104" s="15" t="s">
        <v>70</v>
      </c>
      <c r="C104" s="24">
        <f>SUM(C102/C21)*100%</f>
        <v>0.26081602890376554</v>
      </c>
      <c r="D104" s="18"/>
      <c r="E104" s="18"/>
      <c r="F104" s="56"/>
      <c r="G104" s="24">
        <f>SUM(G102/G21)*100%</f>
        <v>0.15041182104986051</v>
      </c>
      <c r="H104" s="18"/>
      <c r="K104" s="24">
        <f>SUM(K102/K21)*100%</f>
        <v>0.11217658040531255</v>
      </c>
      <c r="N104" s="24">
        <f>SUM(N102/N21)*100%</f>
        <v>0.10833879183336809</v>
      </c>
    </row>
    <row r="105" spans="1:15" x14ac:dyDescent="0.3">
      <c r="B105" s="15"/>
      <c r="G105" s="14"/>
      <c r="N105" s="102"/>
    </row>
    <row r="106" spans="1:15" x14ac:dyDescent="0.3">
      <c r="B106" s="15"/>
      <c r="C106" s="6"/>
      <c r="G106" s="14"/>
      <c r="N106" s="102"/>
    </row>
    <row r="107" spans="1:15" x14ac:dyDescent="0.3">
      <c r="B107" s="15"/>
      <c r="G107" s="14"/>
      <c r="N107" s="102"/>
    </row>
    <row r="108" spans="1:15" x14ac:dyDescent="0.3">
      <c r="A108" s="2" t="s">
        <v>26</v>
      </c>
      <c r="N108" s="102"/>
    </row>
    <row r="109" spans="1:15" x14ac:dyDescent="0.3">
      <c r="N109" s="102"/>
    </row>
    <row r="110" spans="1:15" x14ac:dyDescent="0.3">
      <c r="B110" s="1" t="s">
        <v>158</v>
      </c>
      <c r="C110" s="3">
        <v>0</v>
      </c>
      <c r="D110" s="3">
        <v>0</v>
      </c>
      <c r="G110" s="3">
        <v>0</v>
      </c>
      <c r="H110" s="3">
        <v>0</v>
      </c>
      <c r="N110" s="102"/>
    </row>
    <row r="111" spans="1:15" x14ac:dyDescent="0.3">
      <c r="B111" s="1" t="s">
        <v>209</v>
      </c>
      <c r="C111" s="3">
        <v>0</v>
      </c>
      <c r="D111" s="3">
        <v>0</v>
      </c>
      <c r="G111" s="3">
        <v>-15675.02</v>
      </c>
      <c r="H111" s="3">
        <v>0</v>
      </c>
      <c r="K111" s="68">
        <v>-5000</v>
      </c>
      <c r="N111" s="102"/>
    </row>
    <row r="112" spans="1:15" x14ac:dyDescent="0.3">
      <c r="B112" s="1" t="s">
        <v>213</v>
      </c>
      <c r="C112" s="3">
        <v>0</v>
      </c>
      <c r="D112" s="3">
        <v>0</v>
      </c>
      <c r="G112" s="3">
        <v>9775.5</v>
      </c>
      <c r="H112" s="3">
        <v>0</v>
      </c>
      <c r="K112" s="68">
        <v>120000</v>
      </c>
      <c r="N112" s="102"/>
    </row>
    <row r="113" spans="1:15" x14ac:dyDescent="0.3">
      <c r="B113" s="1" t="s">
        <v>27</v>
      </c>
      <c r="C113" s="3">
        <v>18368.490000000002</v>
      </c>
      <c r="D113" s="3">
        <v>0</v>
      </c>
      <c r="G113" s="3">
        <v>89971.27</v>
      </c>
      <c r="H113" s="3">
        <v>0</v>
      </c>
      <c r="N113" s="102"/>
    </row>
    <row r="114" spans="1:15" x14ac:dyDescent="0.3">
      <c r="B114" s="1" t="s">
        <v>26</v>
      </c>
      <c r="C114" s="3">
        <v>0.42</v>
      </c>
      <c r="D114" s="3">
        <v>0</v>
      </c>
      <c r="G114" s="3">
        <v>1053.42</v>
      </c>
      <c r="H114" s="3">
        <v>0</v>
      </c>
      <c r="N114" s="102"/>
    </row>
    <row r="115" spans="1:15" x14ac:dyDescent="0.3">
      <c r="N115" s="102"/>
    </row>
    <row r="116" spans="1:15" x14ac:dyDescent="0.3">
      <c r="B116" s="2" t="s">
        <v>28</v>
      </c>
      <c r="C116" s="5">
        <f>SUM(C110:C115)</f>
        <v>18368.91</v>
      </c>
      <c r="D116" s="5">
        <f>SUM(D110:D115)</f>
        <v>0</v>
      </c>
      <c r="G116" s="5">
        <f>SUM(G110:G114)</f>
        <v>85125.17</v>
      </c>
      <c r="H116" s="5">
        <f>SUM(H110:H115)</f>
        <v>0</v>
      </c>
      <c r="J116" s="6"/>
      <c r="K116" s="68">
        <f>SUM(K110:K115)</f>
        <v>115000</v>
      </c>
      <c r="N116" s="5">
        <f>162640.76-3534.07</f>
        <v>159106.69</v>
      </c>
      <c r="O116" s="5"/>
    </row>
    <row r="117" spans="1:15" x14ac:dyDescent="0.3">
      <c r="N117" s="102"/>
    </row>
    <row r="118" spans="1:15" x14ac:dyDescent="0.3">
      <c r="B118" s="2" t="s">
        <v>29</v>
      </c>
      <c r="C118" s="5">
        <f>+C21+C116-C35-C86-C96</f>
        <v>2102162.2400000016</v>
      </c>
      <c r="D118" s="5">
        <f>+D21+D116-D35-D86-D96</f>
        <v>748066.11936875002</v>
      </c>
      <c r="G118" s="5">
        <f>+G21+G116-G35-G86-G96</f>
        <v>9746484.2100000009</v>
      </c>
      <c r="H118" s="5">
        <f>+H21+H116-H35-H86-H96</f>
        <v>5982750.9549500076</v>
      </c>
      <c r="K118" s="68">
        <f>K102-K116</f>
        <v>8859126.4324250035</v>
      </c>
      <c r="N118" s="5">
        <f>N102+N116</f>
        <v>5387140.5899999971</v>
      </c>
      <c r="O118" s="5">
        <f>G118-N118</f>
        <v>4359343.6200000038</v>
      </c>
    </row>
    <row r="119" spans="1:15" x14ac:dyDescent="0.3">
      <c r="N119" s="102"/>
    </row>
    <row r="120" spans="1:15" x14ac:dyDescent="0.3">
      <c r="B120" s="2" t="s">
        <v>30</v>
      </c>
      <c r="C120" s="5">
        <f>+(C21+C116-C35-C86-C96)</f>
        <v>2102162.2400000016</v>
      </c>
      <c r="D120" s="5">
        <f>+(D21+D116-D35-D86-D96)</f>
        <v>748066.11936875002</v>
      </c>
      <c r="G120" s="5">
        <f>+(G21+G116-G35-G86-G96)</f>
        <v>9746484.2100000009</v>
      </c>
      <c r="H120" s="5">
        <f>+(H21+H116-H35-H86-H96)</f>
        <v>5982750.9549500076</v>
      </c>
      <c r="N120" s="5">
        <f>+(N21+N116-N35-N86-N96)</f>
        <v>5387140.5899999943</v>
      </c>
      <c r="O120" s="5">
        <f>G120-N120</f>
        <v>4359343.6200000066</v>
      </c>
    </row>
    <row r="121" spans="1:15" x14ac:dyDescent="0.3">
      <c r="N121" s="102"/>
    </row>
    <row r="122" spans="1:15" x14ac:dyDescent="0.3">
      <c r="A122" s="15" t="s">
        <v>33</v>
      </c>
      <c r="C122" s="6"/>
      <c r="H122" s="9"/>
      <c r="N122" s="102"/>
    </row>
    <row r="123" spans="1:15" x14ac:dyDescent="0.3">
      <c r="N123" s="102"/>
    </row>
    <row r="124" spans="1:15" x14ac:dyDescent="0.3">
      <c r="B124" s="16" t="s">
        <v>34</v>
      </c>
      <c r="N124" s="102"/>
    </row>
    <row r="125" spans="1:15" x14ac:dyDescent="0.3">
      <c r="B125" t="s">
        <v>143</v>
      </c>
      <c r="G125" s="9"/>
      <c r="I125" s="9"/>
      <c r="K125" s="68">
        <v>4487064</v>
      </c>
      <c r="N125" s="102">
        <v>59258.1</v>
      </c>
      <c r="O125" s="71">
        <f>N125-G125</f>
        <v>59258.1</v>
      </c>
    </row>
    <row r="126" spans="1:15" x14ac:dyDescent="0.3">
      <c r="G126" s="9">
        <v>0</v>
      </c>
      <c r="N126" s="102"/>
    </row>
    <row r="127" spans="1:15" x14ac:dyDescent="0.3">
      <c r="B127" t="s">
        <v>35</v>
      </c>
      <c r="G127" s="9">
        <v>0</v>
      </c>
      <c r="N127" s="102"/>
    </row>
    <row r="128" spans="1:15" x14ac:dyDescent="0.3">
      <c r="B128" s="17" t="s">
        <v>36</v>
      </c>
      <c r="G128" s="9"/>
      <c r="N128" s="102"/>
    </row>
    <row r="129" spans="1:16" x14ac:dyDescent="0.3">
      <c r="A129" s="16"/>
      <c r="N129" s="102"/>
    </row>
    <row r="130" spans="1:16" x14ac:dyDescent="0.3">
      <c r="A130" s="18" t="s">
        <v>72</v>
      </c>
      <c r="B130" s="16" t="s">
        <v>37</v>
      </c>
      <c r="G130" s="56">
        <f>SUM(G120-G124-G125-G126-G127-G128)</f>
        <v>9746484.2100000009</v>
      </c>
      <c r="H130" s="110">
        <f>G130/G21</f>
        <v>0.15173708303255559</v>
      </c>
      <c r="K130" s="68">
        <f>K102-K125</f>
        <v>4487062.4324250035</v>
      </c>
      <c r="N130" s="102">
        <f>N120-N125</f>
        <v>5327882.4899999946</v>
      </c>
      <c r="O130" s="71">
        <f>G130-N130</f>
        <v>4418601.7200000063</v>
      </c>
      <c r="P130" s="103">
        <f>N130/N21</f>
        <v>0.11040792065192166</v>
      </c>
    </row>
    <row r="131" spans="1:16" x14ac:dyDescent="0.3">
      <c r="A131" s="18"/>
      <c r="B131" s="16"/>
      <c r="G131" s="9"/>
      <c r="N131" s="102"/>
    </row>
    <row r="132" spans="1:16" x14ac:dyDescent="0.3">
      <c r="A132" s="18"/>
      <c r="B132" s="18" t="s">
        <v>144</v>
      </c>
      <c r="G132" s="9"/>
      <c r="H132" s="91"/>
      <c r="K132" s="9">
        <v>1838377.11</v>
      </c>
      <c r="M132" s="9"/>
      <c r="N132" s="102"/>
    </row>
    <row r="133" spans="1:16" x14ac:dyDescent="0.3">
      <c r="K133"/>
      <c r="N133" s="102"/>
    </row>
    <row r="134" spans="1:16" x14ac:dyDescent="0.3">
      <c r="B134" s="16" t="s">
        <v>38</v>
      </c>
      <c r="E134" s="9"/>
      <c r="G134" s="9">
        <f>SUM(G130-G132)</f>
        <v>9746484.2100000009</v>
      </c>
      <c r="K134" s="9">
        <f>SUM(K130-K132)</f>
        <v>2648685.3224250032</v>
      </c>
      <c r="N134" s="102"/>
    </row>
    <row r="135" spans="1:16" x14ac:dyDescent="0.3">
      <c r="N135" s="102"/>
    </row>
    <row r="136" spans="1:16" ht="14.7" customHeight="1" x14ac:dyDescent="0.3">
      <c r="G136" s="19"/>
      <c r="N136" s="102"/>
    </row>
    <row r="137" spans="1:16" ht="14.7" customHeight="1" x14ac:dyDescent="0.3">
      <c r="B137" t="s">
        <v>244</v>
      </c>
      <c r="G137" s="9">
        <v>1639195.65</v>
      </c>
      <c r="H137" t="s">
        <v>316</v>
      </c>
      <c r="N137" s="102"/>
    </row>
    <row r="138" spans="1:16" ht="14.7" customHeight="1" x14ac:dyDescent="0.3">
      <c r="B138" t="s">
        <v>294</v>
      </c>
      <c r="G138" s="9"/>
      <c r="H138" s="89">
        <v>459594.28</v>
      </c>
      <c r="I138" s="90">
        <v>45764</v>
      </c>
      <c r="N138" s="102"/>
    </row>
    <row r="139" spans="1:16" ht="14.7" customHeight="1" x14ac:dyDescent="0.3">
      <c r="B139" t="s">
        <v>295</v>
      </c>
      <c r="G139" s="9"/>
      <c r="H139" s="89">
        <f>773442.23-459594</f>
        <v>313848.23</v>
      </c>
      <c r="I139" s="90">
        <v>45823</v>
      </c>
      <c r="N139" s="102"/>
    </row>
    <row r="140" spans="1:16" ht="14.7" customHeight="1" x14ac:dyDescent="0.3">
      <c r="B140" t="s">
        <v>296</v>
      </c>
      <c r="G140" s="9"/>
      <c r="H140" s="89">
        <v>0</v>
      </c>
      <c r="I140" s="90">
        <v>45915</v>
      </c>
      <c r="N140" s="102"/>
    </row>
    <row r="141" spans="1:16" ht="14.7" customHeight="1" x14ac:dyDescent="0.3">
      <c r="B141" t="s">
        <v>297</v>
      </c>
      <c r="G141" s="9"/>
      <c r="H141" s="89">
        <v>0</v>
      </c>
      <c r="I141" s="90">
        <v>45672</v>
      </c>
      <c r="N141" s="102"/>
    </row>
    <row r="142" spans="1:16" x14ac:dyDescent="0.3">
      <c r="B142" s="18" t="s">
        <v>274</v>
      </c>
      <c r="G142" s="9"/>
      <c r="N142" s="102"/>
    </row>
    <row r="143" spans="1:16" x14ac:dyDescent="0.3">
      <c r="H143" s="96"/>
      <c r="I143" s="96"/>
      <c r="N143" s="102"/>
    </row>
    <row r="144" spans="1:16" ht="19.2" customHeight="1" x14ac:dyDescent="0.3">
      <c r="B144" s="16" t="s">
        <v>38</v>
      </c>
      <c r="G144" s="56">
        <f>G134</f>
        <v>9746484.2100000009</v>
      </c>
      <c r="H144" s="56"/>
      <c r="I144" s="56"/>
      <c r="N144" s="102"/>
    </row>
    <row r="145" spans="2:14" x14ac:dyDescent="0.3">
      <c r="N145" s="102"/>
    </row>
    <row r="146" spans="2:14" x14ac:dyDescent="0.3">
      <c r="B146" s="16" t="s">
        <v>73</v>
      </c>
      <c r="G146" s="24">
        <f>SUM(G144/G21)*100%</f>
        <v>0.15173708303255559</v>
      </c>
      <c r="H146" s="24"/>
      <c r="I146" s="24"/>
      <c r="N146" s="102"/>
    </row>
    <row r="147" spans="2:14" x14ac:dyDescent="0.3">
      <c r="N147" s="102"/>
    </row>
    <row r="148" spans="2:14" x14ac:dyDescent="0.3">
      <c r="N148" s="102"/>
    </row>
    <row r="149" spans="2:14" x14ac:dyDescent="0.3">
      <c r="N149" s="102"/>
    </row>
    <row r="150" spans="2:14" x14ac:dyDescent="0.3">
      <c r="N150" s="102"/>
    </row>
  </sheetData>
  <sheetProtection formatCells="0" formatColumns="0" formatRows="0" insertColumns="0" insertRows="0" insertHyperlinks="0" deleteColumns="0" deleteRows="0" sort="0" autoFilter="0" pivotTables="0"/>
  <mergeCells count="2">
    <mergeCell ref="A7:J7"/>
    <mergeCell ref="A8:J8"/>
  </mergeCells>
  <printOptions horizontalCentered="1"/>
  <pageMargins left="0" right="0" top="0.75" bottom="0.65" header="0.3" footer="0.25"/>
  <pageSetup scale="72" fitToHeight="5" orientation="landscape" r:id="rId1"/>
  <headerFooter>
    <oddFooter>&amp;C&amp;A
&amp;P of &amp;N</oddFooter>
  </headerFooter>
  <rowBreaks count="3" manualBreakCount="3">
    <brk id="43" max="16383" man="1"/>
    <brk id="87" max="16383" man="1"/>
    <brk id="121" max="9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5:AA96"/>
  <sheetViews>
    <sheetView zoomScaleNormal="100" zoomScaleSheetLayoutView="80" workbookViewId="0">
      <selection activeCell="E13" sqref="E13"/>
    </sheetView>
  </sheetViews>
  <sheetFormatPr defaultColWidth="9.109375" defaultRowHeight="14.4" x14ac:dyDescent="0.3"/>
  <cols>
    <col min="1" max="1" width="21.88671875" customWidth="1"/>
    <col min="2" max="2" width="17" bestFit="1" customWidth="1"/>
    <col min="3" max="3" width="16.6640625" customWidth="1"/>
    <col min="4" max="4" width="6.109375" customWidth="1"/>
    <col min="5" max="5" width="16.6640625" customWidth="1"/>
    <col min="6" max="6" width="8.44140625" customWidth="1"/>
    <col min="7" max="7" width="6.6640625" customWidth="1"/>
    <col min="8" max="8" width="17.109375" customWidth="1"/>
    <col min="9" max="9" width="7.33203125" customWidth="1"/>
    <col min="10" max="10" width="16.6640625" customWidth="1"/>
    <col min="11" max="11" width="6.6640625" customWidth="1"/>
    <col min="12" max="12" width="16.6640625" style="116" customWidth="1"/>
    <col min="13" max="13" width="7.109375" customWidth="1"/>
    <col min="14" max="14" width="20.5546875" customWidth="1"/>
    <col min="15" max="15" width="9.109375" customWidth="1"/>
    <col min="16" max="16" width="19.109375" style="71" customWidth="1"/>
    <col min="17" max="17" width="19.6640625" style="71" customWidth="1"/>
    <col min="18" max="18" width="9.109375" customWidth="1"/>
    <col min="19" max="20" width="13.33203125" bestFit="1" customWidth="1"/>
    <col min="21" max="21" width="10.5546875" bestFit="1" customWidth="1"/>
    <col min="23" max="23" width="12" bestFit="1" customWidth="1"/>
    <col min="24" max="24" width="13.33203125" bestFit="1" customWidth="1"/>
  </cols>
  <sheetData>
    <row r="5" spans="1:27" x14ac:dyDescent="0.3">
      <c r="N5" s="59" t="s">
        <v>72</v>
      </c>
    </row>
    <row r="6" spans="1:27" ht="19.2" x14ac:dyDescent="0.45">
      <c r="A6" s="127" t="s">
        <v>591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P6" s="128" t="s">
        <v>153</v>
      </c>
      <c r="Q6" s="128"/>
    </row>
    <row r="7" spans="1:27" x14ac:dyDescent="0.3">
      <c r="B7" s="22" t="s">
        <v>72</v>
      </c>
      <c r="P7" s="80" t="s">
        <v>148</v>
      </c>
      <c r="Y7">
        <v>23022</v>
      </c>
      <c r="Z7">
        <v>19646.46</v>
      </c>
      <c r="AA7" t="s">
        <v>315</v>
      </c>
    </row>
    <row r="8" spans="1:27" x14ac:dyDescent="0.3">
      <c r="P8" s="81" t="s">
        <v>149</v>
      </c>
      <c r="Q8" s="84" t="s">
        <v>151</v>
      </c>
    </row>
    <row r="9" spans="1:27" x14ac:dyDescent="0.3">
      <c r="A9" s="2" t="s">
        <v>74</v>
      </c>
      <c r="C9" s="34" t="s">
        <v>75</v>
      </c>
      <c r="D9" s="34" t="s">
        <v>76</v>
      </c>
      <c r="E9" s="34" t="s">
        <v>1</v>
      </c>
      <c r="F9" s="34" t="s">
        <v>77</v>
      </c>
      <c r="G9" s="34" t="s">
        <v>78</v>
      </c>
      <c r="H9" s="34" t="s">
        <v>79</v>
      </c>
      <c r="I9" s="34" t="s">
        <v>80</v>
      </c>
      <c r="J9" s="34" t="s">
        <v>81</v>
      </c>
      <c r="K9" s="34" t="s">
        <v>82</v>
      </c>
      <c r="L9" s="117" t="s">
        <v>83</v>
      </c>
      <c r="M9" s="34" t="s">
        <v>80</v>
      </c>
      <c r="N9" s="34" t="s">
        <v>31</v>
      </c>
      <c r="P9" s="80" t="s">
        <v>150</v>
      </c>
      <c r="Q9" s="84" t="s">
        <v>152</v>
      </c>
      <c r="Y9">
        <v>14220</v>
      </c>
    </row>
    <row r="11" spans="1:27" x14ac:dyDescent="0.3">
      <c r="A11" s="1" t="s">
        <v>248</v>
      </c>
      <c r="C11" s="66">
        <v>13012237.619999999</v>
      </c>
      <c r="E11" s="112">
        <v>13081470</v>
      </c>
      <c r="F11" s="67">
        <f t="shared" ref="F11:F79" si="0">+IF(E11&gt;0,ROUND((100*C11)/E11,2),0)</f>
        <v>99.47</v>
      </c>
      <c r="H11" s="66">
        <v>15374369</v>
      </c>
      <c r="J11" s="67">
        <f t="shared" ref="J11:J75" si="1">+IF(E11&gt;0,ROUND(H11*F11/100,2),0)</f>
        <v>15292884.84</v>
      </c>
      <c r="L11" s="118">
        <v>15374369</v>
      </c>
      <c r="N11" s="67">
        <f t="shared" ref="N11:N74" si="2">+IF(E11&gt;0,J11-L11,0)</f>
        <v>-81484.160000000149</v>
      </c>
      <c r="P11" s="71">
        <f t="shared" ref="P11:P83" si="3">IF(N11&lt;0,IF(-N11&lt;Q11,N11,-Q11),0)</f>
        <v>-81484.160000000149</v>
      </c>
      <c r="Q11" s="83">
        <f>'August 2026 -AR Aging'!G32</f>
        <v>1537436.88</v>
      </c>
      <c r="R11" s="1"/>
      <c r="S11" s="1"/>
      <c r="T11" s="1"/>
      <c r="X11" s="98"/>
    </row>
    <row r="12" spans="1:27" x14ac:dyDescent="0.3">
      <c r="A12" s="1" t="s">
        <v>249</v>
      </c>
      <c r="C12" s="66">
        <v>23071770.32</v>
      </c>
      <c r="E12" s="112">
        <v>23071770.32</v>
      </c>
      <c r="F12" s="67">
        <f t="shared" si="0"/>
        <v>100</v>
      </c>
      <c r="H12" s="66">
        <v>26422593.649999999</v>
      </c>
      <c r="J12" s="67">
        <f t="shared" si="1"/>
        <v>26422593.649999999</v>
      </c>
      <c r="L12" s="118">
        <v>26382590.449999999</v>
      </c>
      <c r="N12" s="67">
        <f t="shared" si="2"/>
        <v>40003.199999999255</v>
      </c>
      <c r="P12" s="71">
        <f t="shared" si="3"/>
        <v>0</v>
      </c>
      <c r="Q12" s="83">
        <f>'August 2026 -AR Aging'!G38</f>
        <v>0</v>
      </c>
      <c r="R12" s="1"/>
      <c r="S12" s="1"/>
      <c r="T12" s="1"/>
      <c r="X12" s="98"/>
    </row>
    <row r="13" spans="1:27" x14ac:dyDescent="0.3">
      <c r="A13" s="1" t="s">
        <v>250</v>
      </c>
      <c r="C13" s="66">
        <v>7238034.21</v>
      </c>
      <c r="E13" s="112">
        <v>7238034.21</v>
      </c>
      <c r="F13" s="67">
        <f t="shared" si="0"/>
        <v>100</v>
      </c>
      <c r="H13" s="66">
        <v>9863898.7100000009</v>
      </c>
      <c r="J13" s="67">
        <f t="shared" si="1"/>
        <v>9863898.7100000009</v>
      </c>
      <c r="L13" s="118">
        <v>9868777.9299999997</v>
      </c>
      <c r="N13" s="67">
        <f t="shared" si="2"/>
        <v>-4879.2199999988079</v>
      </c>
      <c r="P13" s="71">
        <f t="shared" si="3"/>
        <v>-4879.2199999988079</v>
      </c>
      <c r="Q13" s="83">
        <f>'August 2026 -AR Aging'!G53</f>
        <v>47413.81</v>
      </c>
      <c r="R13" s="1"/>
      <c r="S13" s="1"/>
      <c r="T13" s="1"/>
      <c r="X13" s="98"/>
    </row>
    <row r="14" spans="1:27" x14ac:dyDescent="0.3">
      <c r="A14" s="1" t="s">
        <v>251</v>
      </c>
      <c r="C14" s="66">
        <v>11018134.140000001</v>
      </c>
      <c r="E14" s="112">
        <v>11017872.68</v>
      </c>
      <c r="F14" s="67">
        <f t="shared" si="0"/>
        <v>100</v>
      </c>
      <c r="H14" s="66">
        <v>15546323.5</v>
      </c>
      <c r="J14" s="67">
        <f t="shared" si="1"/>
        <v>15546323.5</v>
      </c>
      <c r="L14" s="118">
        <v>15547950.93</v>
      </c>
      <c r="N14" s="67">
        <f t="shared" si="2"/>
        <v>-1627.429999999702</v>
      </c>
      <c r="P14" s="71">
        <f t="shared" si="3"/>
        <v>-1627.429999999702</v>
      </c>
      <c r="Q14" s="83">
        <f>'August 2026 -AR Aging'!G59</f>
        <v>1627.43</v>
      </c>
      <c r="R14" s="1"/>
      <c r="S14" s="1"/>
      <c r="T14" s="1"/>
      <c r="X14" s="98"/>
    </row>
    <row r="15" spans="1:27" x14ac:dyDescent="0.3">
      <c r="A15" s="1" t="s">
        <v>252</v>
      </c>
      <c r="C15" s="66">
        <v>262643.09000000003</v>
      </c>
      <c r="E15" s="66">
        <v>5076190.5999999996</v>
      </c>
      <c r="F15" s="67">
        <f t="shared" si="0"/>
        <v>5.17</v>
      </c>
      <c r="H15" s="66">
        <v>6295775.2999999998</v>
      </c>
      <c r="J15" s="67">
        <f t="shared" si="1"/>
        <v>325491.58</v>
      </c>
      <c r="N15" s="67">
        <f t="shared" si="2"/>
        <v>325491.58</v>
      </c>
      <c r="P15" s="71">
        <f t="shared" si="3"/>
        <v>0</v>
      </c>
      <c r="Q15" s="83"/>
      <c r="R15" s="1"/>
      <c r="S15" s="1"/>
      <c r="T15" s="1"/>
      <c r="X15" s="98"/>
    </row>
    <row r="16" spans="1:27" x14ac:dyDescent="0.3">
      <c r="A16" s="1" t="s">
        <v>253</v>
      </c>
      <c r="C16" s="66">
        <v>4932904.28</v>
      </c>
      <c r="E16" s="112">
        <v>6188300</v>
      </c>
      <c r="F16" s="67">
        <f t="shared" si="0"/>
        <v>79.709999999999994</v>
      </c>
      <c r="H16" s="112">
        <v>7318353.4800000004</v>
      </c>
      <c r="J16" s="67">
        <f t="shared" si="1"/>
        <v>5833459.5599999996</v>
      </c>
      <c r="L16" s="118">
        <v>7074613.4699999997</v>
      </c>
      <c r="N16" s="67">
        <f t="shared" si="2"/>
        <v>-1241153.9100000001</v>
      </c>
      <c r="P16" s="71">
        <f t="shared" si="3"/>
        <v>-707461.34</v>
      </c>
      <c r="Q16" s="83">
        <f>'August 2026 -AR Aging'!G80</f>
        <v>707461.34</v>
      </c>
      <c r="R16" s="1"/>
      <c r="S16" s="1"/>
      <c r="T16" s="1"/>
      <c r="X16" s="98"/>
    </row>
    <row r="17" spans="1:24" x14ac:dyDescent="0.3">
      <c r="A17" s="1" t="s">
        <v>254</v>
      </c>
      <c r="C17" s="66">
        <v>11729121.300000001</v>
      </c>
      <c r="E17" s="112">
        <v>12455595</v>
      </c>
      <c r="F17" s="67">
        <f t="shared" si="0"/>
        <v>94.17</v>
      </c>
      <c r="H17" s="112">
        <v>15234099.34</v>
      </c>
      <c r="J17" s="67">
        <f t="shared" si="1"/>
        <v>14345951.35</v>
      </c>
      <c r="L17" s="118">
        <v>15207629.26</v>
      </c>
      <c r="N17" s="67">
        <f t="shared" si="2"/>
        <v>-861677.91000000015</v>
      </c>
      <c r="P17" s="71">
        <f t="shared" si="3"/>
        <v>0</v>
      </c>
      <c r="Q17" s="83">
        <f>'August 2026 -AR Aging'!G101</f>
        <v>0</v>
      </c>
      <c r="R17" s="1"/>
      <c r="S17" s="1"/>
      <c r="T17" s="1"/>
      <c r="X17" s="98"/>
    </row>
    <row r="18" spans="1:24" x14ac:dyDescent="0.3">
      <c r="A18" s="1" t="s">
        <v>268</v>
      </c>
      <c r="C18" s="66">
        <v>24255356.629999999</v>
      </c>
      <c r="E18" s="112">
        <v>37509647</v>
      </c>
      <c r="F18" s="67">
        <f t="shared" si="0"/>
        <v>64.66</v>
      </c>
      <c r="H18" s="112">
        <v>42437798.600000001</v>
      </c>
      <c r="J18" s="67">
        <f t="shared" si="1"/>
        <v>27440280.57</v>
      </c>
      <c r="L18" s="118">
        <v>30946660.899999999</v>
      </c>
      <c r="N18" s="67">
        <f>+IF(E18&gt;0,J18-L18,0)</f>
        <v>-3506380.3299999982</v>
      </c>
      <c r="P18" s="71">
        <f t="shared" si="3"/>
        <v>-3094666.08</v>
      </c>
      <c r="Q18" s="83">
        <f>'August 2026 -AR Aging'!G128</f>
        <v>3094666.08</v>
      </c>
      <c r="R18" s="1"/>
      <c r="S18" s="1"/>
      <c r="T18" s="1"/>
      <c r="X18" s="98"/>
    </row>
    <row r="19" spans="1:24" x14ac:dyDescent="0.3">
      <c r="A19" s="1" t="s">
        <v>255</v>
      </c>
      <c r="C19" s="66">
        <v>7955785.9000000004</v>
      </c>
      <c r="E19" s="112">
        <v>7944692</v>
      </c>
      <c r="F19" s="67">
        <f t="shared" si="0"/>
        <v>100.14</v>
      </c>
      <c r="H19" s="112">
        <v>9738808.3499999996</v>
      </c>
      <c r="J19" s="67">
        <f t="shared" si="1"/>
        <v>9752442.6799999997</v>
      </c>
      <c r="L19" s="118">
        <v>9646072.3100000005</v>
      </c>
      <c r="N19" s="67">
        <f t="shared" si="2"/>
        <v>106370.36999999918</v>
      </c>
      <c r="P19" s="71">
        <f t="shared" si="3"/>
        <v>0</v>
      </c>
      <c r="Q19" s="83">
        <f>'August 2026 -AR Aging'!G143</f>
        <v>0</v>
      </c>
      <c r="R19" s="1"/>
      <c r="S19" s="1"/>
      <c r="T19" s="1"/>
      <c r="X19" s="98"/>
    </row>
    <row r="20" spans="1:24" x14ac:dyDescent="0.3">
      <c r="A20" s="1" t="s">
        <v>271</v>
      </c>
      <c r="C20" s="66">
        <v>446832.4</v>
      </c>
      <c r="E20" s="112">
        <v>452457</v>
      </c>
      <c r="F20" s="67">
        <f t="shared" si="0"/>
        <v>98.76</v>
      </c>
      <c r="H20" s="112">
        <v>700547</v>
      </c>
      <c r="J20" s="67">
        <f t="shared" si="1"/>
        <v>691860.22</v>
      </c>
      <c r="L20" s="118">
        <v>700547</v>
      </c>
      <c r="N20" s="67">
        <f t="shared" si="2"/>
        <v>-8686.7800000000279</v>
      </c>
      <c r="P20" s="71">
        <f t="shared" si="3"/>
        <v>0</v>
      </c>
      <c r="Q20" s="83">
        <f>'August 2026 -AR Aging'!G149</f>
        <v>0</v>
      </c>
      <c r="R20" s="1"/>
      <c r="S20" s="1"/>
      <c r="T20" s="1"/>
      <c r="X20" s="98"/>
    </row>
    <row r="21" spans="1:24" x14ac:dyDescent="0.3">
      <c r="A21" s="1" t="s">
        <v>276</v>
      </c>
      <c r="C21" s="66">
        <v>42599.72</v>
      </c>
      <c r="E21" s="66">
        <v>42599.72</v>
      </c>
      <c r="F21" s="67">
        <f t="shared" si="0"/>
        <v>100</v>
      </c>
      <c r="H21" s="112">
        <v>26175</v>
      </c>
      <c r="J21" s="67">
        <f t="shared" si="1"/>
        <v>26175</v>
      </c>
      <c r="L21" s="118">
        <v>29160</v>
      </c>
      <c r="N21" s="67">
        <f t="shared" si="2"/>
        <v>-2985</v>
      </c>
      <c r="P21" s="71">
        <f t="shared" si="3"/>
        <v>0</v>
      </c>
      <c r="Q21" s="83"/>
      <c r="R21" s="1"/>
      <c r="S21" s="1"/>
      <c r="T21" s="1"/>
      <c r="X21" s="98"/>
    </row>
    <row r="22" spans="1:24" x14ac:dyDescent="0.3">
      <c r="A22" s="1" t="s">
        <v>256</v>
      </c>
      <c r="C22" s="66">
        <v>13140128.02</v>
      </c>
      <c r="E22" s="112">
        <v>18458300</v>
      </c>
      <c r="F22" s="67">
        <f t="shared" si="0"/>
        <v>71.19</v>
      </c>
      <c r="H22" s="112">
        <v>20377780.789999999</v>
      </c>
      <c r="J22" s="67">
        <f t="shared" si="1"/>
        <v>14506942.140000001</v>
      </c>
      <c r="L22" s="118">
        <v>16052243.93</v>
      </c>
      <c r="N22" s="67">
        <f t="shared" si="2"/>
        <v>-1545301.7899999991</v>
      </c>
      <c r="P22" s="71">
        <f t="shared" si="3"/>
        <v>-1545301.7899999991</v>
      </c>
      <c r="Q22" s="83">
        <f>'August 2026 -AR Aging'!G171</f>
        <v>1607288.33</v>
      </c>
      <c r="R22" s="1"/>
      <c r="S22" s="1"/>
      <c r="T22" s="1"/>
      <c r="X22" s="98"/>
    </row>
    <row r="23" spans="1:24" x14ac:dyDescent="0.3">
      <c r="A23" s="1" t="s">
        <v>257</v>
      </c>
      <c r="C23" s="66">
        <v>458152.23</v>
      </c>
      <c r="E23" s="66">
        <v>464616.02</v>
      </c>
      <c r="F23" s="67">
        <f t="shared" si="0"/>
        <v>98.61</v>
      </c>
      <c r="H23" s="66">
        <v>548180.28</v>
      </c>
      <c r="J23" s="67">
        <f t="shared" si="1"/>
        <v>540560.56999999995</v>
      </c>
      <c r="L23" s="118">
        <v>548180.29</v>
      </c>
      <c r="N23" s="67">
        <f t="shared" si="2"/>
        <v>-7619.7200000000885</v>
      </c>
      <c r="P23" s="71">
        <f t="shared" si="3"/>
        <v>-7619.7200000000885</v>
      </c>
      <c r="Q23" s="83">
        <f>'August 2026 -AR Aging'!G188</f>
        <v>54818.03</v>
      </c>
      <c r="R23" s="1"/>
      <c r="S23" s="1"/>
      <c r="T23" s="1"/>
      <c r="X23" s="98"/>
    </row>
    <row r="24" spans="1:24" x14ac:dyDescent="0.3">
      <c r="A24" s="1" t="s">
        <v>258</v>
      </c>
      <c r="C24" s="66">
        <v>72050.399999999994</v>
      </c>
      <c r="E24" s="66">
        <v>420800</v>
      </c>
      <c r="F24" s="67">
        <f t="shared" si="0"/>
        <v>17.12</v>
      </c>
      <c r="H24" s="66">
        <v>526000</v>
      </c>
      <c r="J24" s="67">
        <f t="shared" si="1"/>
        <v>90051.199999999997</v>
      </c>
      <c r="L24" s="120">
        <v>261000</v>
      </c>
      <c r="N24" s="67">
        <f t="shared" si="2"/>
        <v>-170948.8</v>
      </c>
      <c r="P24" s="71">
        <f t="shared" si="3"/>
        <v>-13050</v>
      </c>
      <c r="Q24" s="83">
        <f>'August 2026 -AR Aging'!G194</f>
        <v>13050</v>
      </c>
      <c r="R24" s="1"/>
      <c r="S24" s="1"/>
      <c r="T24" s="1"/>
      <c r="X24" s="98"/>
    </row>
    <row r="25" spans="1:24" x14ac:dyDescent="0.3">
      <c r="A25" s="1" t="s">
        <v>259</v>
      </c>
      <c r="C25" s="66">
        <v>542572.99</v>
      </c>
      <c r="E25" s="66">
        <v>540556.99</v>
      </c>
      <c r="F25" s="67">
        <f t="shared" si="0"/>
        <v>100.37</v>
      </c>
      <c r="H25" s="66">
        <v>587000</v>
      </c>
      <c r="J25" s="67">
        <f t="shared" si="1"/>
        <v>589171.9</v>
      </c>
      <c r="L25" s="118">
        <v>587000</v>
      </c>
      <c r="N25" s="67">
        <f t="shared" si="2"/>
        <v>2171.9000000000233</v>
      </c>
      <c r="P25" s="71">
        <f t="shared" si="3"/>
        <v>0</v>
      </c>
      <c r="Q25" s="83"/>
      <c r="R25" s="1"/>
      <c r="S25" s="1"/>
      <c r="T25" s="1"/>
      <c r="X25" s="98"/>
    </row>
    <row r="26" spans="1:24" x14ac:dyDescent="0.3">
      <c r="A26" s="1" t="s">
        <v>314</v>
      </c>
      <c r="C26" s="66">
        <v>143961.65</v>
      </c>
      <c r="E26" s="112">
        <v>152395</v>
      </c>
      <c r="F26" s="67">
        <f t="shared" si="0"/>
        <v>94.47</v>
      </c>
      <c r="H26" s="112">
        <v>90494</v>
      </c>
      <c r="J26" s="67">
        <f t="shared" si="1"/>
        <v>85489.68</v>
      </c>
      <c r="L26" s="118">
        <v>90494</v>
      </c>
      <c r="N26" s="67">
        <f t="shared" si="2"/>
        <v>-5004.320000000007</v>
      </c>
      <c r="Q26" s="83"/>
      <c r="R26" s="1"/>
      <c r="S26" s="1"/>
      <c r="T26" s="1"/>
      <c r="X26" s="98"/>
    </row>
    <row r="27" spans="1:24" x14ac:dyDescent="0.3">
      <c r="A27" s="1" t="s">
        <v>260</v>
      </c>
      <c r="C27" s="66">
        <v>606053.57999999996</v>
      </c>
      <c r="E27" s="112">
        <v>804600</v>
      </c>
      <c r="F27" s="67">
        <f t="shared" si="0"/>
        <v>75.319999999999993</v>
      </c>
      <c r="H27" s="66">
        <v>1064299</v>
      </c>
      <c r="J27" s="67">
        <f t="shared" si="1"/>
        <v>801630.01</v>
      </c>
      <c r="L27" s="118">
        <v>1060299</v>
      </c>
      <c r="N27" s="67">
        <f t="shared" si="2"/>
        <v>-258668.99</v>
      </c>
      <c r="P27" s="71">
        <f t="shared" si="3"/>
        <v>-106029.9</v>
      </c>
      <c r="Q27" s="83">
        <f>'August 2026 -AR Aging'!G204</f>
        <v>106029.9</v>
      </c>
      <c r="R27" s="1"/>
      <c r="S27" s="1"/>
      <c r="T27" s="1"/>
    </row>
    <row r="28" spans="1:24" x14ac:dyDescent="0.3">
      <c r="A28" s="1" t="s">
        <v>532</v>
      </c>
      <c r="C28" s="66">
        <v>6507.94</v>
      </c>
      <c r="E28" s="66">
        <v>20600</v>
      </c>
      <c r="F28" s="67">
        <f t="shared" si="0"/>
        <v>31.59</v>
      </c>
      <c r="H28" s="66">
        <v>9473.76</v>
      </c>
      <c r="J28" s="67">
        <f t="shared" si="1"/>
        <v>2992.76</v>
      </c>
      <c r="L28" s="118">
        <v>9473.76</v>
      </c>
      <c r="N28" s="67">
        <v>-1576.26</v>
      </c>
      <c r="Q28" s="83"/>
      <c r="R28" s="1"/>
      <c r="S28" s="1"/>
      <c r="T28" s="1"/>
    </row>
    <row r="29" spans="1:24" x14ac:dyDescent="0.3">
      <c r="A29" s="1" t="s">
        <v>261</v>
      </c>
      <c r="C29" s="66">
        <v>3175.71</v>
      </c>
      <c r="E29" s="66">
        <v>5520</v>
      </c>
      <c r="F29" s="67">
        <f t="shared" si="0"/>
        <v>57.53</v>
      </c>
      <c r="H29" s="66">
        <v>8275</v>
      </c>
      <c r="J29" s="67">
        <f t="shared" si="1"/>
        <v>4760.6099999999997</v>
      </c>
      <c r="L29" s="118">
        <v>8275</v>
      </c>
      <c r="N29" s="67">
        <f t="shared" si="2"/>
        <v>-3514.3900000000003</v>
      </c>
      <c r="P29" s="71">
        <f t="shared" si="3"/>
        <v>0</v>
      </c>
      <c r="Q29" s="83"/>
      <c r="R29" s="1"/>
      <c r="S29" s="1"/>
      <c r="T29" s="1"/>
    </row>
    <row r="30" spans="1:24" x14ac:dyDescent="0.3">
      <c r="A30" s="1" t="s">
        <v>262</v>
      </c>
      <c r="E30" s="101">
        <v>10000</v>
      </c>
      <c r="F30" s="67">
        <f t="shared" si="0"/>
        <v>0</v>
      </c>
      <c r="H30" s="101">
        <v>14687.87</v>
      </c>
      <c r="J30" s="67">
        <f t="shared" si="1"/>
        <v>0</v>
      </c>
      <c r="L30" s="118">
        <v>14687.87</v>
      </c>
      <c r="N30" s="67">
        <f t="shared" si="2"/>
        <v>-14687.87</v>
      </c>
      <c r="P30" s="71">
        <f t="shared" si="3"/>
        <v>0</v>
      </c>
      <c r="Q30" s="83"/>
      <c r="R30" s="1"/>
      <c r="S30" s="1"/>
      <c r="T30" s="1"/>
    </row>
    <row r="31" spans="1:24" x14ac:dyDescent="0.3">
      <c r="A31" s="1" t="s">
        <v>264</v>
      </c>
      <c r="C31" s="66">
        <v>6798524.54</v>
      </c>
      <c r="E31" s="66">
        <v>12512221</v>
      </c>
      <c r="F31" s="67">
        <f t="shared" si="0"/>
        <v>54.34</v>
      </c>
      <c r="H31" s="112">
        <v>14604901.109999999</v>
      </c>
      <c r="J31" s="67">
        <f t="shared" si="1"/>
        <v>7936303.2599999998</v>
      </c>
      <c r="L31" s="118">
        <v>10178644.189999999</v>
      </c>
      <c r="N31" s="67">
        <f t="shared" si="2"/>
        <v>-2242340.9299999997</v>
      </c>
      <c r="P31" s="71">
        <f t="shared" si="3"/>
        <v>-1018289.27</v>
      </c>
      <c r="Q31" s="83">
        <f>'August 2026 -AR Aging'!G224</f>
        <v>1018289.27</v>
      </c>
      <c r="R31" s="1"/>
      <c r="S31" s="1"/>
      <c r="T31" s="1"/>
    </row>
    <row r="32" spans="1:24" x14ac:dyDescent="0.3">
      <c r="A32" s="1" t="s">
        <v>265</v>
      </c>
      <c r="C32" s="66">
        <v>30782.3</v>
      </c>
      <c r="E32" s="66">
        <v>56300</v>
      </c>
      <c r="F32" s="67">
        <f t="shared" si="0"/>
        <v>54.68</v>
      </c>
      <c r="H32" s="66">
        <v>77405</v>
      </c>
      <c r="J32" s="67">
        <f t="shared" si="1"/>
        <v>42325.05</v>
      </c>
      <c r="L32" s="120">
        <v>77405</v>
      </c>
      <c r="N32" s="67">
        <f t="shared" si="2"/>
        <v>-35079.949999999997</v>
      </c>
      <c r="P32" s="71">
        <f t="shared" si="3"/>
        <v>0</v>
      </c>
      <c r="Q32" s="83">
        <f>'August 2026 -AR Aging'!G230</f>
        <v>0</v>
      </c>
      <c r="R32" s="1"/>
      <c r="S32" s="1"/>
      <c r="T32" s="1"/>
    </row>
    <row r="33" spans="1:20" x14ac:dyDescent="0.3">
      <c r="A33" s="1" t="s">
        <v>531</v>
      </c>
      <c r="C33" s="66">
        <v>154636.82999999999</v>
      </c>
      <c r="E33" s="66">
        <v>154636.82999999999</v>
      </c>
      <c r="F33" s="67">
        <f t="shared" si="0"/>
        <v>100</v>
      </c>
      <c r="H33" s="66">
        <v>0</v>
      </c>
      <c r="J33" s="67">
        <f t="shared" si="1"/>
        <v>0</v>
      </c>
      <c r="L33" s="120">
        <v>209987.44</v>
      </c>
      <c r="N33" s="67">
        <v>-209987.44</v>
      </c>
      <c r="Q33" s="83"/>
      <c r="R33" s="1"/>
      <c r="S33" s="1"/>
      <c r="T33" s="1"/>
    </row>
    <row r="34" spans="1:20" x14ac:dyDescent="0.3">
      <c r="A34" s="1" t="s">
        <v>269</v>
      </c>
      <c r="C34" s="66">
        <v>200354.46</v>
      </c>
      <c r="E34" s="112">
        <v>489781</v>
      </c>
      <c r="F34" s="67">
        <f t="shared" si="0"/>
        <v>40.909999999999997</v>
      </c>
      <c r="H34" s="112">
        <v>633270</v>
      </c>
      <c r="J34" s="67">
        <f t="shared" si="1"/>
        <v>259070.76</v>
      </c>
      <c r="L34" s="120">
        <v>592020</v>
      </c>
      <c r="N34" s="67">
        <f t="shared" si="2"/>
        <v>-332949.24</v>
      </c>
      <c r="P34" s="71">
        <f t="shared" si="3"/>
        <v>-59202</v>
      </c>
      <c r="Q34" s="83">
        <f>'August 2026 -AR Aging'!G239</f>
        <v>59202</v>
      </c>
      <c r="R34" s="1"/>
      <c r="S34" s="1"/>
      <c r="T34" s="1"/>
    </row>
    <row r="35" spans="1:20" x14ac:dyDescent="0.3">
      <c r="A35" s="1" t="s">
        <v>270</v>
      </c>
      <c r="C35" s="66">
        <v>762924.71</v>
      </c>
      <c r="E35" s="112">
        <v>1019540</v>
      </c>
      <c r="F35" s="67">
        <f t="shared" si="0"/>
        <v>74.83</v>
      </c>
      <c r="H35" s="66">
        <v>1269617</v>
      </c>
      <c r="J35" s="67">
        <f t="shared" si="1"/>
        <v>950054.40000000002</v>
      </c>
      <c r="L35" s="118">
        <v>1264617</v>
      </c>
      <c r="N35" s="67">
        <f t="shared" si="2"/>
        <v>-314562.59999999998</v>
      </c>
      <c r="P35" s="71">
        <f t="shared" si="3"/>
        <v>-126461.7</v>
      </c>
      <c r="Q35" s="83">
        <f>'August 2026 -AR Aging'!G250</f>
        <v>126461.7</v>
      </c>
      <c r="R35" s="1"/>
      <c r="S35" s="1"/>
      <c r="T35" s="1"/>
    </row>
    <row r="36" spans="1:20" x14ac:dyDescent="0.3">
      <c r="A36" s="1" t="s">
        <v>267</v>
      </c>
      <c r="C36" s="66">
        <v>193714.22</v>
      </c>
      <c r="E36" s="112">
        <v>200000</v>
      </c>
      <c r="F36" s="67">
        <f t="shared" si="0"/>
        <v>96.86</v>
      </c>
      <c r="H36" s="112">
        <v>230000</v>
      </c>
      <c r="J36" s="67">
        <f t="shared" si="1"/>
        <v>222778</v>
      </c>
      <c r="L36" s="120">
        <v>230000</v>
      </c>
      <c r="N36" s="67">
        <f t="shared" si="2"/>
        <v>-7222</v>
      </c>
      <c r="P36" s="71">
        <f t="shared" si="3"/>
        <v>-7222</v>
      </c>
      <c r="Q36" s="83">
        <f>'August 2026 -AR Aging'!G262</f>
        <v>23000</v>
      </c>
      <c r="R36" s="1"/>
      <c r="S36" s="1"/>
      <c r="T36" s="1"/>
    </row>
    <row r="37" spans="1:20" x14ac:dyDescent="0.3">
      <c r="A37" s="1" t="s">
        <v>277</v>
      </c>
      <c r="C37" s="66">
        <v>238084.35</v>
      </c>
      <c r="E37" s="112">
        <v>819967</v>
      </c>
      <c r="F37" s="67">
        <f t="shared" si="0"/>
        <v>29.04</v>
      </c>
      <c r="H37" s="66">
        <v>967213.66</v>
      </c>
      <c r="J37" s="67">
        <f t="shared" si="1"/>
        <v>280878.84999999998</v>
      </c>
      <c r="L37" s="120">
        <v>88375</v>
      </c>
      <c r="N37" s="67">
        <f t="shared" si="2"/>
        <v>192503.84999999998</v>
      </c>
      <c r="P37" s="71">
        <f t="shared" si="3"/>
        <v>0</v>
      </c>
      <c r="Q37" s="83">
        <f>'August 2026 -AR Aging'!G268</f>
        <v>8837.5</v>
      </c>
      <c r="R37" s="1"/>
      <c r="S37" s="1"/>
      <c r="T37" s="1"/>
    </row>
    <row r="38" spans="1:20" x14ac:dyDescent="0.3">
      <c r="A38" s="1" t="s">
        <v>278</v>
      </c>
      <c r="C38" s="66">
        <v>523996.15999999997</v>
      </c>
      <c r="E38" s="112">
        <v>1074230</v>
      </c>
      <c r="F38" s="67">
        <f t="shared" si="0"/>
        <v>48.78</v>
      </c>
      <c r="H38" s="66">
        <v>1350435</v>
      </c>
      <c r="J38" s="67">
        <f t="shared" si="1"/>
        <v>658742.18999999994</v>
      </c>
      <c r="L38" s="120">
        <v>1338800</v>
      </c>
      <c r="N38" s="67">
        <f t="shared" si="2"/>
        <v>-680057.81</v>
      </c>
      <c r="P38" s="71">
        <f t="shared" si="3"/>
        <v>-133880</v>
      </c>
      <c r="Q38" s="83">
        <f>'August 2026 -AR Aging'!G276</f>
        <v>133880</v>
      </c>
      <c r="R38" s="1"/>
      <c r="S38" s="1"/>
      <c r="T38" s="1"/>
    </row>
    <row r="39" spans="1:20" x14ac:dyDescent="0.3">
      <c r="A39" s="1" t="s">
        <v>279</v>
      </c>
      <c r="C39" s="66">
        <v>332369.78999999998</v>
      </c>
      <c r="E39" s="112">
        <v>993530</v>
      </c>
      <c r="F39" s="67">
        <f t="shared" si="0"/>
        <v>33.450000000000003</v>
      </c>
      <c r="H39" s="112">
        <v>1329537</v>
      </c>
      <c r="J39" s="67">
        <f t="shared" si="1"/>
        <v>444730.13</v>
      </c>
      <c r="L39" s="120">
        <v>1236800</v>
      </c>
      <c r="N39" s="67">
        <f t="shared" si="2"/>
        <v>-792069.87</v>
      </c>
      <c r="P39" s="71">
        <f t="shared" si="3"/>
        <v>-123680</v>
      </c>
      <c r="Q39" s="83">
        <f>'August 2026 -AR Aging'!G284</f>
        <v>123680</v>
      </c>
      <c r="R39" s="1"/>
      <c r="S39" s="1"/>
      <c r="T39" s="1"/>
    </row>
    <row r="40" spans="1:20" x14ac:dyDescent="0.3">
      <c r="A40" s="1" t="s">
        <v>280</v>
      </c>
      <c r="C40" s="66">
        <v>72644.86</v>
      </c>
      <c r="E40" s="112">
        <v>396560</v>
      </c>
      <c r="F40" s="67">
        <f t="shared" si="0"/>
        <v>18.32</v>
      </c>
      <c r="H40" s="66">
        <v>495700</v>
      </c>
      <c r="J40" s="67">
        <f t="shared" si="1"/>
        <v>90812.24</v>
      </c>
      <c r="L40" s="120">
        <v>491700</v>
      </c>
      <c r="N40" s="67">
        <f t="shared" si="2"/>
        <v>-400887.76</v>
      </c>
      <c r="P40" s="71">
        <f t="shared" si="3"/>
        <v>-49170</v>
      </c>
      <c r="Q40" s="83">
        <f>'August 2026 -AR Aging'!G291</f>
        <v>49170</v>
      </c>
      <c r="R40" s="1"/>
      <c r="S40" s="1"/>
      <c r="T40" s="1"/>
    </row>
    <row r="41" spans="1:20" x14ac:dyDescent="0.3">
      <c r="A41" s="1" t="s">
        <v>281</v>
      </c>
      <c r="C41" s="66">
        <v>275575.92</v>
      </c>
      <c r="E41" s="112">
        <v>275576</v>
      </c>
      <c r="F41" s="67">
        <f t="shared" si="0"/>
        <v>100</v>
      </c>
      <c r="H41" s="112">
        <v>350131.35</v>
      </c>
      <c r="J41" s="67">
        <f t="shared" si="1"/>
        <v>350131.35</v>
      </c>
      <c r="L41" s="120">
        <v>350131.35</v>
      </c>
      <c r="N41" s="67">
        <f t="shared" si="2"/>
        <v>0</v>
      </c>
      <c r="P41" s="71">
        <f t="shared" si="3"/>
        <v>0</v>
      </c>
      <c r="Q41" s="83">
        <f>'August 2026 -AR Aging'!G303</f>
        <v>0</v>
      </c>
      <c r="R41" s="1"/>
      <c r="S41" s="1"/>
      <c r="T41" s="1"/>
    </row>
    <row r="42" spans="1:20" x14ac:dyDescent="0.3">
      <c r="A42" s="1" t="s">
        <v>282</v>
      </c>
      <c r="C42" s="66">
        <v>1592963.54</v>
      </c>
      <c r="E42" s="112">
        <v>1566743</v>
      </c>
      <c r="F42" s="67">
        <f t="shared" si="0"/>
        <v>101.67</v>
      </c>
      <c r="H42" s="66">
        <v>2383197.33</v>
      </c>
      <c r="J42" s="67">
        <f t="shared" si="1"/>
        <v>2422996.73</v>
      </c>
      <c r="L42" s="120">
        <v>2383197.33</v>
      </c>
      <c r="N42" s="67">
        <f t="shared" si="2"/>
        <v>39799.399999999907</v>
      </c>
      <c r="P42" s="71">
        <f t="shared" si="3"/>
        <v>0</v>
      </c>
      <c r="Q42" s="83">
        <f>'August 2026 -AR Aging'!G316</f>
        <v>238319.74</v>
      </c>
      <c r="R42" s="1"/>
      <c r="S42" s="1"/>
      <c r="T42" s="1"/>
    </row>
    <row r="43" spans="1:20" x14ac:dyDescent="0.3">
      <c r="A43" s="1" t="s">
        <v>283</v>
      </c>
      <c r="C43" s="66">
        <v>1288842.6299999999</v>
      </c>
      <c r="E43" s="66">
        <v>16424550</v>
      </c>
      <c r="F43" s="67">
        <f t="shared" si="0"/>
        <v>7.85</v>
      </c>
      <c r="H43" s="66">
        <v>19323000</v>
      </c>
      <c r="J43" s="67">
        <f t="shared" si="1"/>
        <v>1516855.5</v>
      </c>
      <c r="L43" s="120"/>
      <c r="N43" s="67">
        <f>+IF(E43&gt;0,J43-L43,0)</f>
        <v>1516855.5</v>
      </c>
      <c r="P43" s="71">
        <f t="shared" si="3"/>
        <v>0</v>
      </c>
      <c r="Q43" s="83"/>
      <c r="R43" s="1"/>
      <c r="S43" s="1"/>
      <c r="T43" s="1"/>
    </row>
    <row r="44" spans="1:20" x14ac:dyDescent="0.3">
      <c r="A44" s="1" t="s">
        <v>284</v>
      </c>
      <c r="C44" s="66">
        <v>139.52000000000001</v>
      </c>
      <c r="E44" s="66">
        <v>176312</v>
      </c>
      <c r="F44" s="67">
        <f t="shared" si="0"/>
        <v>0.08</v>
      </c>
      <c r="H44" s="66">
        <v>187557</v>
      </c>
      <c r="J44" s="67">
        <f t="shared" si="1"/>
        <v>150.05000000000001</v>
      </c>
      <c r="L44" s="120"/>
      <c r="N44" s="67">
        <f t="shared" si="2"/>
        <v>150.05000000000001</v>
      </c>
      <c r="P44" s="71">
        <f t="shared" si="3"/>
        <v>0</v>
      </c>
      <c r="Q44" s="83"/>
      <c r="R44" s="1"/>
      <c r="S44" s="1"/>
      <c r="T44" s="1"/>
    </row>
    <row r="45" spans="1:20" x14ac:dyDescent="0.3">
      <c r="A45" s="1" t="s">
        <v>285</v>
      </c>
      <c r="C45" s="66">
        <v>210031.39</v>
      </c>
      <c r="E45" s="66">
        <v>3199314</v>
      </c>
      <c r="F45" s="67">
        <f t="shared" si="0"/>
        <v>6.56</v>
      </c>
      <c r="H45" s="66">
        <v>3787250.01</v>
      </c>
      <c r="J45" s="67">
        <f t="shared" si="1"/>
        <v>248443.6</v>
      </c>
      <c r="L45" s="120">
        <v>394952.34</v>
      </c>
      <c r="N45" s="67">
        <f t="shared" si="2"/>
        <v>-146508.74000000002</v>
      </c>
      <c r="P45" s="71">
        <f t="shared" si="3"/>
        <v>-7166.58</v>
      </c>
      <c r="Q45" s="83">
        <f>'August 2026 -AR Aging'!G324</f>
        <v>7166.58</v>
      </c>
      <c r="R45" s="1"/>
      <c r="S45" s="1"/>
      <c r="T45" s="1"/>
    </row>
    <row r="46" spans="1:20" x14ac:dyDescent="0.3">
      <c r="A46" s="1" t="s">
        <v>286</v>
      </c>
      <c r="C46" s="66">
        <v>4453.46</v>
      </c>
      <c r="E46" s="66">
        <v>15000</v>
      </c>
      <c r="F46" s="67">
        <f t="shared" si="0"/>
        <v>29.69</v>
      </c>
      <c r="H46" s="66">
        <v>37384.089999999997</v>
      </c>
      <c r="J46" s="67">
        <f t="shared" si="1"/>
        <v>11099.34</v>
      </c>
      <c r="L46" s="120">
        <v>37384.089999999997</v>
      </c>
      <c r="N46" s="67">
        <f t="shared" si="2"/>
        <v>-26284.749999999996</v>
      </c>
      <c r="P46" s="71">
        <f t="shared" si="3"/>
        <v>0</v>
      </c>
      <c r="Q46" s="83"/>
      <c r="R46" s="1"/>
      <c r="S46" s="1"/>
      <c r="T46" s="1"/>
    </row>
    <row r="47" spans="1:20" x14ac:dyDescent="0.3">
      <c r="A47" s="1" t="s">
        <v>287</v>
      </c>
      <c r="C47" s="66">
        <v>52.32</v>
      </c>
      <c r="E47" s="66">
        <v>3786750</v>
      </c>
      <c r="F47" s="67">
        <f t="shared" si="0"/>
        <v>0</v>
      </c>
      <c r="H47" s="66">
        <v>4455000</v>
      </c>
      <c r="J47" s="67">
        <f t="shared" si="1"/>
        <v>0</v>
      </c>
      <c r="L47" s="120"/>
      <c r="N47" s="67">
        <f t="shared" si="2"/>
        <v>0</v>
      </c>
      <c r="P47" s="71">
        <f t="shared" si="3"/>
        <v>0</v>
      </c>
      <c r="Q47" s="83"/>
      <c r="R47" s="1"/>
      <c r="S47" s="1"/>
      <c r="T47" s="1"/>
    </row>
    <row r="48" spans="1:20" x14ac:dyDescent="0.3">
      <c r="A48" s="1" t="s">
        <v>288</v>
      </c>
      <c r="C48" s="66">
        <v>42701.15</v>
      </c>
      <c r="E48" s="66">
        <v>42701.15</v>
      </c>
      <c r="F48" s="67">
        <f t="shared" si="0"/>
        <v>100</v>
      </c>
      <c r="H48" s="66">
        <v>46445.4</v>
      </c>
      <c r="J48" s="67">
        <f t="shared" si="1"/>
        <v>46445.4</v>
      </c>
      <c r="L48" s="120">
        <v>46445.4</v>
      </c>
      <c r="N48" s="67">
        <f t="shared" si="2"/>
        <v>0</v>
      </c>
      <c r="P48" s="71">
        <f t="shared" si="3"/>
        <v>0</v>
      </c>
      <c r="Q48" s="83"/>
      <c r="R48" s="1"/>
      <c r="S48" s="1"/>
      <c r="T48" s="1"/>
    </row>
    <row r="49" spans="1:20" x14ac:dyDescent="0.3">
      <c r="A49" s="1" t="s">
        <v>289</v>
      </c>
      <c r="C49" s="66">
        <v>26453.45</v>
      </c>
      <c r="E49" s="66">
        <v>8275600</v>
      </c>
      <c r="F49" s="67">
        <f t="shared" si="0"/>
        <v>0.32</v>
      </c>
      <c r="H49" s="66">
        <v>9685828</v>
      </c>
      <c r="J49" s="67">
        <f t="shared" si="1"/>
        <v>30994.65</v>
      </c>
      <c r="L49" s="120"/>
      <c r="N49" s="67">
        <f t="shared" si="2"/>
        <v>30994.65</v>
      </c>
      <c r="P49" s="71">
        <f t="shared" si="3"/>
        <v>0</v>
      </c>
      <c r="Q49" s="83"/>
      <c r="R49" s="1"/>
      <c r="S49" s="1"/>
      <c r="T49" s="1"/>
    </row>
    <row r="50" spans="1:20" x14ac:dyDescent="0.3">
      <c r="A50" s="1" t="s">
        <v>301</v>
      </c>
      <c r="C50" s="66">
        <v>2160</v>
      </c>
      <c r="E50" s="66">
        <v>2160</v>
      </c>
      <c r="F50" s="67">
        <f t="shared" si="0"/>
        <v>100</v>
      </c>
      <c r="H50" s="66"/>
      <c r="J50" s="67">
        <f t="shared" si="1"/>
        <v>0</v>
      </c>
      <c r="L50" s="120"/>
      <c r="N50" s="67">
        <f t="shared" si="2"/>
        <v>0</v>
      </c>
      <c r="P50" s="71">
        <f t="shared" si="3"/>
        <v>0</v>
      </c>
      <c r="Q50" s="83"/>
      <c r="R50" s="1"/>
      <c r="S50" s="1"/>
      <c r="T50" s="1"/>
    </row>
    <row r="51" spans="1:20" x14ac:dyDescent="0.3">
      <c r="A51" s="1" t="s">
        <v>302</v>
      </c>
      <c r="C51" s="66">
        <v>6764.22</v>
      </c>
      <c r="E51" s="66">
        <v>99461</v>
      </c>
      <c r="F51" s="67">
        <f t="shared" si="0"/>
        <v>6.8</v>
      </c>
      <c r="H51" s="66">
        <v>117013</v>
      </c>
      <c r="J51" s="67">
        <f t="shared" si="1"/>
        <v>7956.88</v>
      </c>
      <c r="L51" s="120"/>
      <c r="N51" s="67">
        <f t="shared" si="2"/>
        <v>7956.88</v>
      </c>
      <c r="P51" s="71">
        <f t="shared" si="3"/>
        <v>0</v>
      </c>
      <c r="Q51" s="83"/>
      <c r="R51" s="1"/>
      <c r="S51" s="1"/>
      <c r="T51" s="1"/>
    </row>
    <row r="52" spans="1:20" x14ac:dyDescent="0.3">
      <c r="A52" s="1" t="s">
        <v>303</v>
      </c>
      <c r="C52" s="66">
        <v>153205.24</v>
      </c>
      <c r="E52" s="66">
        <v>1495200</v>
      </c>
      <c r="F52" s="67">
        <f t="shared" si="0"/>
        <v>10.25</v>
      </c>
      <c r="H52" s="66">
        <v>1869000</v>
      </c>
      <c r="J52" s="67">
        <f t="shared" si="1"/>
        <v>191572.5</v>
      </c>
      <c r="L52" s="120">
        <v>673500</v>
      </c>
      <c r="N52" s="67">
        <f t="shared" si="2"/>
        <v>-481927.5</v>
      </c>
      <c r="P52" s="71">
        <f t="shared" si="3"/>
        <v>-67350</v>
      </c>
      <c r="Q52" s="83">
        <f>'August 2026 -AR Aging'!G330</f>
        <v>67350</v>
      </c>
      <c r="R52" s="1"/>
      <c r="S52" s="1"/>
      <c r="T52" s="1"/>
    </row>
    <row r="53" spans="1:20" x14ac:dyDescent="0.3">
      <c r="A53" s="1" t="s">
        <v>304</v>
      </c>
      <c r="C53" s="66">
        <v>9804.7900000000009</v>
      </c>
      <c r="E53" s="66">
        <v>562785</v>
      </c>
      <c r="F53" s="67">
        <f t="shared" si="0"/>
        <v>1.74</v>
      </c>
      <c r="H53" s="66">
        <v>700000.38</v>
      </c>
      <c r="J53" s="67">
        <f t="shared" si="1"/>
        <v>12180.01</v>
      </c>
      <c r="L53" s="120"/>
      <c r="N53" s="67">
        <f t="shared" si="2"/>
        <v>12180.01</v>
      </c>
      <c r="P53" s="71">
        <f t="shared" si="3"/>
        <v>0</v>
      </c>
      <c r="Q53" s="83"/>
      <c r="R53" s="1"/>
      <c r="S53" s="1"/>
      <c r="T53" s="1"/>
    </row>
    <row r="54" spans="1:20" x14ac:dyDescent="0.3">
      <c r="A54" s="1" t="s">
        <v>307</v>
      </c>
      <c r="C54" s="66">
        <v>174292.16</v>
      </c>
      <c r="E54" s="112">
        <v>840250</v>
      </c>
      <c r="F54" s="67">
        <f t="shared" si="0"/>
        <v>20.74</v>
      </c>
      <c r="H54" s="66">
        <v>965000</v>
      </c>
      <c r="J54" s="67">
        <f t="shared" si="1"/>
        <v>200141</v>
      </c>
      <c r="L54" s="120">
        <v>343400</v>
      </c>
      <c r="N54" s="67">
        <f t="shared" si="2"/>
        <v>-143259</v>
      </c>
      <c r="P54" s="71">
        <f t="shared" si="3"/>
        <v>-34340</v>
      </c>
      <c r="Q54" s="83">
        <f>'August 2026 -AR Aging'!G339</f>
        <v>34340</v>
      </c>
      <c r="R54" s="1"/>
      <c r="S54" s="1"/>
      <c r="T54" s="1"/>
    </row>
    <row r="55" spans="1:20" x14ac:dyDescent="0.3">
      <c r="A55" s="1" t="s">
        <v>308</v>
      </c>
      <c r="C55" s="66">
        <v>74444.23</v>
      </c>
      <c r="E55" s="66">
        <v>1222100</v>
      </c>
      <c r="F55" s="67">
        <f t="shared" si="0"/>
        <v>6.09</v>
      </c>
      <c r="H55" s="66">
        <v>1501296</v>
      </c>
      <c r="J55" s="67">
        <f t="shared" si="1"/>
        <v>91428.93</v>
      </c>
      <c r="L55" s="120"/>
      <c r="N55" s="67">
        <f t="shared" si="2"/>
        <v>91428.93</v>
      </c>
      <c r="P55" s="71">
        <f t="shared" si="3"/>
        <v>0</v>
      </c>
      <c r="Q55" s="83"/>
      <c r="R55" s="1"/>
      <c r="S55" s="1"/>
      <c r="T55" s="1"/>
    </row>
    <row r="56" spans="1:20" x14ac:dyDescent="0.3">
      <c r="A56" s="1" t="s">
        <v>309</v>
      </c>
      <c r="C56" s="66">
        <v>53.88</v>
      </c>
      <c r="E56" s="112">
        <v>33384</v>
      </c>
      <c r="F56" s="67">
        <f t="shared" si="0"/>
        <v>0.16</v>
      </c>
      <c r="H56" s="66">
        <v>39275</v>
      </c>
      <c r="J56" s="67">
        <f t="shared" si="1"/>
        <v>62.84</v>
      </c>
      <c r="L56" s="120"/>
      <c r="N56" s="67">
        <f t="shared" si="2"/>
        <v>62.84</v>
      </c>
      <c r="P56" s="71">
        <f t="shared" si="3"/>
        <v>0</v>
      </c>
      <c r="Q56" s="83"/>
      <c r="R56" s="1"/>
      <c r="S56" s="1"/>
      <c r="T56" s="1"/>
    </row>
    <row r="57" spans="1:20" x14ac:dyDescent="0.3">
      <c r="A57" s="1" t="s">
        <v>310</v>
      </c>
      <c r="C57" s="66">
        <v>84667.75</v>
      </c>
      <c r="E57" s="66">
        <v>105000</v>
      </c>
      <c r="F57" s="67">
        <f t="shared" si="0"/>
        <v>80.64</v>
      </c>
      <c r="H57" s="66">
        <v>127500.27</v>
      </c>
      <c r="J57" s="67">
        <f t="shared" si="1"/>
        <v>102816.22</v>
      </c>
      <c r="L57" s="120">
        <v>127500.27</v>
      </c>
      <c r="N57" s="67">
        <f t="shared" si="2"/>
        <v>-24684.050000000003</v>
      </c>
      <c r="P57" s="71">
        <f t="shared" si="3"/>
        <v>0</v>
      </c>
      <c r="Q57" s="83"/>
      <c r="R57" s="1"/>
      <c r="S57" s="1"/>
      <c r="T57" s="1"/>
    </row>
    <row r="58" spans="1:20" x14ac:dyDescent="0.3">
      <c r="A58" s="1" t="s">
        <v>311</v>
      </c>
      <c r="C58" s="66">
        <v>0</v>
      </c>
      <c r="E58" s="66">
        <v>8651.52</v>
      </c>
      <c r="F58" s="67">
        <f t="shared" si="0"/>
        <v>0</v>
      </c>
      <c r="H58" s="66">
        <v>8652</v>
      </c>
      <c r="J58" s="67">
        <f t="shared" si="1"/>
        <v>0</v>
      </c>
      <c r="L58" s="120">
        <v>8652</v>
      </c>
      <c r="N58" s="67">
        <f t="shared" si="2"/>
        <v>-8652</v>
      </c>
      <c r="P58" s="71">
        <f t="shared" si="3"/>
        <v>0</v>
      </c>
      <c r="Q58" s="83">
        <f>'August 2026 -AR Aging'!G345</f>
        <v>0</v>
      </c>
      <c r="R58" s="1"/>
      <c r="S58" s="1"/>
      <c r="T58" s="1"/>
    </row>
    <row r="59" spans="1:20" x14ac:dyDescent="0.3">
      <c r="A59" s="1" t="s">
        <v>312</v>
      </c>
      <c r="C59" s="66">
        <v>5000</v>
      </c>
      <c r="E59" s="66">
        <v>5992500</v>
      </c>
      <c r="F59" s="67">
        <f t="shared" si="0"/>
        <v>0.08</v>
      </c>
      <c r="H59" s="66">
        <v>7050000</v>
      </c>
      <c r="J59" s="67">
        <f t="shared" si="1"/>
        <v>5640</v>
      </c>
      <c r="L59" s="120"/>
      <c r="N59" s="67">
        <f t="shared" si="2"/>
        <v>5640</v>
      </c>
      <c r="P59" s="71">
        <f t="shared" si="3"/>
        <v>0</v>
      </c>
      <c r="Q59" s="83"/>
      <c r="R59" s="1"/>
      <c r="S59" s="1"/>
      <c r="T59" s="1"/>
    </row>
    <row r="60" spans="1:20" x14ac:dyDescent="0.3">
      <c r="A60" s="1" t="s">
        <v>313</v>
      </c>
      <c r="C60" s="66">
        <v>328079.87</v>
      </c>
      <c r="E60" s="112">
        <v>365500</v>
      </c>
      <c r="F60" s="67">
        <f t="shared" si="0"/>
        <v>89.76</v>
      </c>
      <c r="H60" s="66">
        <v>430000</v>
      </c>
      <c r="J60" s="67">
        <f t="shared" si="1"/>
        <v>385968</v>
      </c>
      <c r="L60" s="120"/>
      <c r="N60" s="67">
        <f t="shared" si="2"/>
        <v>385968</v>
      </c>
      <c r="P60" s="71">
        <f t="shared" si="3"/>
        <v>0</v>
      </c>
      <c r="Q60" s="83"/>
      <c r="R60" s="1"/>
      <c r="S60" s="1"/>
      <c r="T60" s="1"/>
    </row>
    <row r="61" spans="1:20" x14ac:dyDescent="0.3">
      <c r="A61" s="1" t="s">
        <v>534</v>
      </c>
      <c r="C61" s="66">
        <v>20688.5</v>
      </c>
      <c r="E61" s="112">
        <v>23375</v>
      </c>
      <c r="F61" s="67">
        <f t="shared" si="0"/>
        <v>88.51</v>
      </c>
      <c r="H61" s="66">
        <v>27500</v>
      </c>
      <c r="J61" s="67">
        <v>24222</v>
      </c>
      <c r="L61" s="120"/>
      <c r="N61" s="67">
        <f t="shared" si="2"/>
        <v>24222</v>
      </c>
      <c r="P61" s="71">
        <f t="shared" si="3"/>
        <v>0</v>
      </c>
      <c r="Q61" s="83"/>
      <c r="R61" s="1"/>
      <c r="S61" s="1"/>
      <c r="T61" s="1"/>
    </row>
    <row r="62" spans="1:20" x14ac:dyDescent="0.3">
      <c r="A62" s="1" t="s">
        <v>535</v>
      </c>
      <c r="C62" s="66">
        <v>698.5</v>
      </c>
      <c r="E62" s="66">
        <v>0</v>
      </c>
      <c r="F62" s="67">
        <f t="shared" si="0"/>
        <v>0</v>
      </c>
      <c r="H62" s="66"/>
      <c r="J62" s="67">
        <v>0</v>
      </c>
      <c r="L62" s="120"/>
      <c r="N62" s="67">
        <f t="shared" si="2"/>
        <v>0</v>
      </c>
      <c r="P62" s="71">
        <f t="shared" si="3"/>
        <v>0</v>
      </c>
      <c r="Q62" s="83"/>
      <c r="R62" s="1"/>
      <c r="S62" s="1"/>
      <c r="T62" s="1"/>
    </row>
    <row r="63" spans="1:20" x14ac:dyDescent="0.3">
      <c r="A63" s="1" t="s">
        <v>536</v>
      </c>
      <c r="C63" s="66">
        <v>17876.59</v>
      </c>
      <c r="E63" s="66">
        <v>201473</v>
      </c>
      <c r="F63" s="67">
        <f t="shared" si="0"/>
        <v>8.8699999999999992</v>
      </c>
      <c r="H63" s="66">
        <v>237027</v>
      </c>
      <c r="J63" s="67">
        <v>0</v>
      </c>
      <c r="L63" s="120"/>
      <c r="N63" s="67">
        <f t="shared" si="2"/>
        <v>0</v>
      </c>
      <c r="P63" s="71">
        <f t="shared" si="3"/>
        <v>0</v>
      </c>
      <c r="Q63" s="83"/>
      <c r="R63" s="1"/>
      <c r="S63" s="1"/>
      <c r="T63" s="1"/>
    </row>
    <row r="64" spans="1:20" x14ac:dyDescent="0.3">
      <c r="A64" s="1" t="s">
        <v>537</v>
      </c>
      <c r="C64" s="66">
        <v>56449.53</v>
      </c>
      <c r="E64" s="66">
        <v>326438</v>
      </c>
      <c r="F64" s="67">
        <f t="shared" si="0"/>
        <v>17.29</v>
      </c>
      <c r="H64" s="66">
        <v>384045</v>
      </c>
      <c r="J64" s="67">
        <v>0</v>
      </c>
      <c r="L64" s="120"/>
      <c r="N64" s="67">
        <f t="shared" si="2"/>
        <v>0</v>
      </c>
      <c r="P64" s="71">
        <f t="shared" si="3"/>
        <v>0</v>
      </c>
      <c r="Q64" s="83"/>
      <c r="R64" s="1"/>
      <c r="S64" s="1"/>
      <c r="T64" s="1"/>
    </row>
    <row r="65" spans="1:20" x14ac:dyDescent="0.3">
      <c r="A65" s="1" t="s">
        <v>594</v>
      </c>
      <c r="C65" s="66">
        <v>11411046.140000001</v>
      </c>
      <c r="E65" s="66">
        <v>12102574</v>
      </c>
      <c r="F65" s="67">
        <f>+IF(E65&gt;0,ROUND((100*C65)/E65,2),0)</f>
        <v>94.29</v>
      </c>
      <c r="H65" s="66">
        <v>15025398.630000001</v>
      </c>
      <c r="J65" s="67">
        <f>+IF(E65&gt;0,ROUND(H65*F65/100,2),0)</f>
        <v>14167448.369999999</v>
      </c>
      <c r="L65" s="120">
        <v>14879838.390000001</v>
      </c>
      <c r="N65" s="67">
        <f>+IF(E65&gt;0,J65-L65,0)</f>
        <v>-712390.02000000142</v>
      </c>
      <c r="P65" s="71">
        <f>IF(N65&lt;0,IF(-N65&lt;Q65,N65,-Q65),0)</f>
        <v>0</v>
      </c>
      <c r="Q65" s="83"/>
      <c r="R65" s="1"/>
      <c r="S65" s="1"/>
      <c r="T65" s="1"/>
    </row>
    <row r="66" spans="1:20" x14ac:dyDescent="0.3">
      <c r="A66" s="1" t="s">
        <v>595</v>
      </c>
      <c r="C66" s="66">
        <v>8254477.2800000003</v>
      </c>
      <c r="E66" s="66">
        <v>8657499.7599999998</v>
      </c>
      <c r="F66" s="67">
        <f>+IF(E66&gt;0,ROUND((100*C66)/E66,2),0)</f>
        <v>95.34</v>
      </c>
      <c r="H66" s="66">
        <v>10896278.32</v>
      </c>
      <c r="J66" s="67">
        <f>+IF(E66&gt;0,ROUND(H66*F66/100,2),0)</f>
        <v>10388511.75</v>
      </c>
      <c r="L66" s="120">
        <v>10896278.32</v>
      </c>
      <c r="N66" s="67">
        <f>+IF(E66&gt;0,J66-L66,0)</f>
        <v>-507766.5700000003</v>
      </c>
      <c r="P66" s="71">
        <f>IF(N66&lt;0,IF(-N66&lt;Q66,N66,-Q66),0)</f>
        <v>0</v>
      </c>
      <c r="Q66" s="83"/>
      <c r="R66" s="1"/>
      <c r="S66" s="1"/>
      <c r="T66" s="1"/>
    </row>
    <row r="67" spans="1:20" x14ac:dyDescent="0.3">
      <c r="A67" s="1" t="s">
        <v>596</v>
      </c>
      <c r="C67" s="66">
        <v>0</v>
      </c>
      <c r="E67" s="66">
        <v>0</v>
      </c>
      <c r="F67" s="67">
        <f>+IF(E67&gt;0,ROUND((100*C67)/E67,2),0)</f>
        <v>0</v>
      </c>
      <c r="H67" s="66">
        <v>0</v>
      </c>
      <c r="J67" s="67">
        <f>+IF(E67&gt;0,ROUND(H67*F67/100,2),0)</f>
        <v>0</v>
      </c>
      <c r="L67" s="120">
        <v>3157.3</v>
      </c>
      <c r="N67" s="67">
        <f>+IF(E67&gt;0,J67-L67,0)</f>
        <v>0</v>
      </c>
      <c r="P67" s="71">
        <f>IF(N67&lt;0,IF(-N67&lt;Q67,N67,-Q67),0)</f>
        <v>0</v>
      </c>
      <c r="Q67" s="83"/>
      <c r="R67" s="1"/>
      <c r="T67" s="1"/>
    </row>
    <row r="68" spans="1:20" x14ac:dyDescent="0.3">
      <c r="A68" s="1"/>
      <c r="C68" s="66"/>
      <c r="E68" s="66"/>
      <c r="F68" s="67">
        <f t="shared" si="0"/>
        <v>0</v>
      </c>
      <c r="H68" s="66"/>
      <c r="J68" s="67">
        <f t="shared" si="1"/>
        <v>0</v>
      </c>
      <c r="L68" s="120"/>
      <c r="N68" s="67"/>
      <c r="P68" s="71">
        <f t="shared" si="3"/>
        <v>0</v>
      </c>
      <c r="Q68" s="83"/>
      <c r="R68" s="1"/>
      <c r="T68" s="1"/>
    </row>
    <row r="69" spans="1:20" x14ac:dyDescent="0.3">
      <c r="A69" s="1" t="s">
        <v>290</v>
      </c>
      <c r="C69" s="66">
        <v>430164.59</v>
      </c>
      <c r="E69" s="66">
        <v>430164.59</v>
      </c>
      <c r="F69" s="67">
        <f t="shared" si="0"/>
        <v>100</v>
      </c>
      <c r="H69" s="66">
        <v>420218</v>
      </c>
      <c r="J69" s="67">
        <f t="shared" si="1"/>
        <v>420218</v>
      </c>
      <c r="L69" s="118">
        <v>420218</v>
      </c>
      <c r="N69" s="67">
        <f t="shared" si="2"/>
        <v>0</v>
      </c>
      <c r="P69" s="71">
        <f t="shared" si="3"/>
        <v>0</v>
      </c>
      <c r="Q69" s="83"/>
      <c r="R69" s="1"/>
      <c r="T69" s="1"/>
    </row>
    <row r="70" spans="1:20" x14ac:dyDescent="0.3">
      <c r="A70" s="1" t="s">
        <v>291</v>
      </c>
      <c r="C70" s="66">
        <v>306283.11</v>
      </c>
      <c r="E70" s="66">
        <v>306283.11</v>
      </c>
      <c r="F70" s="67">
        <f t="shared" si="0"/>
        <v>100</v>
      </c>
      <c r="H70" s="66">
        <v>331495</v>
      </c>
      <c r="J70" s="67">
        <f t="shared" si="1"/>
        <v>331495</v>
      </c>
      <c r="L70" s="118">
        <v>331495</v>
      </c>
      <c r="N70" s="67">
        <f t="shared" si="2"/>
        <v>0</v>
      </c>
      <c r="P70" s="71">
        <f t="shared" si="3"/>
        <v>0</v>
      </c>
      <c r="Q70" s="83"/>
      <c r="R70" s="1"/>
    </row>
    <row r="71" spans="1:20" x14ac:dyDescent="0.3">
      <c r="A71" s="1" t="s">
        <v>292</v>
      </c>
      <c r="C71" s="66">
        <v>300583.03999999998</v>
      </c>
      <c r="E71" s="66">
        <v>300583.03999999998</v>
      </c>
      <c r="F71" s="67">
        <f t="shared" si="0"/>
        <v>100</v>
      </c>
      <c r="H71" s="66">
        <v>278236.5</v>
      </c>
      <c r="J71" s="67">
        <f t="shared" si="1"/>
        <v>278236.5</v>
      </c>
      <c r="L71" s="118">
        <v>200645</v>
      </c>
      <c r="N71" s="67">
        <f t="shared" si="2"/>
        <v>77591.5</v>
      </c>
      <c r="P71" s="71">
        <f t="shared" si="3"/>
        <v>0</v>
      </c>
      <c r="Q71" s="83">
        <f>'August 2026 -AR Aging'!G351</f>
        <v>0</v>
      </c>
      <c r="R71" s="1"/>
    </row>
    <row r="72" spans="1:20" x14ac:dyDescent="0.3">
      <c r="A72" s="1" t="s">
        <v>272</v>
      </c>
      <c r="C72" s="66">
        <v>33457.17</v>
      </c>
      <c r="E72" s="66">
        <v>33457.17</v>
      </c>
      <c r="F72" s="67">
        <f t="shared" si="0"/>
        <v>100</v>
      </c>
      <c r="H72" s="66">
        <v>90143.17</v>
      </c>
      <c r="J72" s="67">
        <f t="shared" si="1"/>
        <v>90143.17</v>
      </c>
      <c r="L72" s="118">
        <v>90143.17</v>
      </c>
      <c r="N72" s="67">
        <f t="shared" si="2"/>
        <v>0</v>
      </c>
      <c r="P72" s="71">
        <f t="shared" si="3"/>
        <v>0</v>
      </c>
      <c r="Q72" s="83">
        <f>'August 2026 -AR Aging'!G357</f>
        <v>0</v>
      </c>
      <c r="R72" s="1"/>
    </row>
    <row r="73" spans="1:20" x14ac:dyDescent="0.3">
      <c r="A73" s="1" t="s">
        <v>293</v>
      </c>
      <c r="C73" s="66">
        <v>20835.95</v>
      </c>
      <c r="E73" s="66">
        <v>20835.95</v>
      </c>
      <c r="F73" s="67">
        <f t="shared" si="0"/>
        <v>100</v>
      </c>
      <c r="H73" s="66">
        <v>26500</v>
      </c>
      <c r="J73" s="67">
        <f t="shared" si="1"/>
        <v>26500</v>
      </c>
      <c r="L73" s="118">
        <v>20500</v>
      </c>
      <c r="N73" s="67">
        <f t="shared" si="2"/>
        <v>6000</v>
      </c>
      <c r="P73" s="71">
        <f t="shared" si="3"/>
        <v>0</v>
      </c>
      <c r="Q73" s="83">
        <f>'August 2026 -AR Aging'!G363</f>
        <v>2050</v>
      </c>
      <c r="R73" s="1"/>
    </row>
    <row r="74" spans="1:20" x14ac:dyDescent="0.3">
      <c r="A74" s="1" t="s">
        <v>538</v>
      </c>
      <c r="C74" s="66">
        <v>3144.67</v>
      </c>
      <c r="E74" s="66">
        <v>3144.67</v>
      </c>
      <c r="F74" s="67">
        <f t="shared" si="0"/>
        <v>100</v>
      </c>
      <c r="H74" s="66">
        <v>4548</v>
      </c>
      <c r="J74" s="67">
        <f t="shared" si="1"/>
        <v>4548</v>
      </c>
      <c r="L74" s="118">
        <v>4548</v>
      </c>
      <c r="N74" s="67">
        <f t="shared" si="2"/>
        <v>0</v>
      </c>
      <c r="Q74" s="83"/>
      <c r="R74" s="1"/>
    </row>
    <row r="75" spans="1:20" x14ac:dyDescent="0.3">
      <c r="A75" s="1" t="s">
        <v>306</v>
      </c>
      <c r="C75" s="66">
        <v>13365.45</v>
      </c>
      <c r="E75" s="66">
        <v>13365.45</v>
      </c>
      <c r="F75" s="67">
        <f t="shared" si="0"/>
        <v>100</v>
      </c>
      <c r="H75" s="66">
        <v>49900</v>
      </c>
      <c r="J75" s="67">
        <f t="shared" si="1"/>
        <v>49900</v>
      </c>
      <c r="L75" s="116">
        <v>22000</v>
      </c>
      <c r="N75" s="67">
        <f t="shared" ref="N75:N76" si="4">+IF(E75&gt;0,J75-L75,0)</f>
        <v>27900</v>
      </c>
      <c r="P75" s="71">
        <f t="shared" si="3"/>
        <v>0</v>
      </c>
      <c r="Q75" s="83">
        <f>'August 2026 -AR Aging'!G369</f>
        <v>2200</v>
      </c>
      <c r="R75" s="1"/>
    </row>
    <row r="76" spans="1:20" x14ac:dyDescent="0.3">
      <c r="A76" s="1"/>
      <c r="C76" s="66"/>
      <c r="E76" s="66"/>
      <c r="F76" s="67">
        <f t="shared" si="0"/>
        <v>0</v>
      </c>
      <c r="H76" s="66"/>
      <c r="J76" s="67">
        <f t="shared" ref="J76:J77" si="5">+IF(E76&gt;0,ROUND(H76*F76/100,2),0)</f>
        <v>0</v>
      </c>
      <c r="L76" s="116">
        <v>22000</v>
      </c>
      <c r="N76" s="67">
        <f t="shared" si="4"/>
        <v>0</v>
      </c>
      <c r="P76" s="71">
        <f t="shared" si="3"/>
        <v>0</v>
      </c>
      <c r="Q76" s="83"/>
      <c r="R76" s="1"/>
    </row>
    <row r="77" spans="1:20" x14ac:dyDescent="0.3">
      <c r="A77" s="1" t="s">
        <v>597</v>
      </c>
      <c r="C77" s="66">
        <v>593317.52</v>
      </c>
      <c r="E77" s="66">
        <v>593317.52</v>
      </c>
      <c r="F77" s="67">
        <f>+IF(E77&gt;0,ROUND((100*C77)/E77,2),0)</f>
        <v>100</v>
      </c>
      <c r="H77" s="66">
        <v>481089</v>
      </c>
      <c r="J77" s="67">
        <f>+IF(E77&gt;0,ROUND(H77*F77/100,2),0)</f>
        <v>481089</v>
      </c>
      <c r="L77" s="116">
        <v>481089</v>
      </c>
      <c r="N77" s="67">
        <f>+IF(E77&gt;0,J77-L77,0)</f>
        <v>0</v>
      </c>
      <c r="P77" s="71">
        <f>IF(N77&lt;0,IF(-N77&lt;Q77,N77,-Q77),0)</f>
        <v>0</v>
      </c>
      <c r="Q77" s="83"/>
      <c r="R77" s="1"/>
    </row>
    <row r="78" spans="1:20" x14ac:dyDescent="0.3">
      <c r="A78" s="1"/>
      <c r="C78" s="66"/>
      <c r="E78" s="66"/>
      <c r="F78" s="67">
        <f t="shared" si="0"/>
        <v>0</v>
      </c>
      <c r="H78" s="66"/>
      <c r="J78" s="67"/>
      <c r="N78" s="67"/>
      <c r="P78" s="71">
        <f t="shared" si="3"/>
        <v>0</v>
      </c>
      <c r="Q78" s="83"/>
      <c r="R78" s="1"/>
    </row>
    <row r="79" spans="1:20" x14ac:dyDescent="0.3">
      <c r="A79" s="1"/>
      <c r="F79" s="67">
        <f t="shared" si="0"/>
        <v>0</v>
      </c>
      <c r="J79" s="67"/>
      <c r="N79" s="67"/>
      <c r="P79" s="71">
        <f t="shared" si="3"/>
        <v>0</v>
      </c>
      <c r="Q79" s="83"/>
      <c r="R79" s="1"/>
    </row>
    <row r="80" spans="1:20" x14ac:dyDescent="0.3">
      <c r="A80" s="1"/>
      <c r="E80" s="66"/>
      <c r="F80" s="67">
        <f t="shared" ref="F80:F83" si="6">+IF(E80&gt;0,ROUND((100*C80)/E80,2),0)</f>
        <v>0</v>
      </c>
      <c r="H80" s="66"/>
      <c r="J80" s="67"/>
      <c r="N80" s="67"/>
      <c r="P80" s="71">
        <f t="shared" si="3"/>
        <v>0</v>
      </c>
      <c r="Q80" s="83"/>
      <c r="R80" s="1"/>
    </row>
    <row r="81" spans="1:21" x14ac:dyDescent="0.3">
      <c r="A81" s="1"/>
      <c r="C81" s="66"/>
      <c r="E81" s="66"/>
      <c r="F81" s="67">
        <f t="shared" si="6"/>
        <v>0</v>
      </c>
      <c r="H81" s="66"/>
      <c r="J81" s="67"/>
      <c r="L81" s="118"/>
      <c r="N81" s="67"/>
      <c r="P81" s="71">
        <f t="shared" si="3"/>
        <v>0</v>
      </c>
      <c r="Q81" s="83"/>
      <c r="R81" s="1"/>
    </row>
    <row r="82" spans="1:21" x14ac:dyDescent="0.3">
      <c r="A82" s="1"/>
      <c r="C82" s="66"/>
      <c r="E82" s="66"/>
      <c r="F82" s="67">
        <f t="shared" si="6"/>
        <v>0</v>
      </c>
      <c r="H82" s="66"/>
      <c r="J82" s="67"/>
      <c r="L82" s="118"/>
      <c r="N82" s="67"/>
      <c r="P82" s="71">
        <f t="shared" si="3"/>
        <v>0</v>
      </c>
      <c r="Q82" s="83"/>
      <c r="R82" s="1"/>
    </row>
    <row r="83" spans="1:21" x14ac:dyDescent="0.3">
      <c r="A83" s="1"/>
      <c r="C83" s="66"/>
      <c r="E83" s="66"/>
      <c r="F83" s="67">
        <f t="shared" si="6"/>
        <v>0</v>
      </c>
      <c r="H83" s="66"/>
      <c r="J83" s="67"/>
      <c r="L83" s="118"/>
      <c r="N83" s="67"/>
      <c r="P83" s="71">
        <f t="shared" si="3"/>
        <v>0</v>
      </c>
      <c r="Q83" s="83"/>
      <c r="R83" s="1" t="s">
        <v>226</v>
      </c>
    </row>
    <row r="85" spans="1:21" x14ac:dyDescent="0.3">
      <c r="B85" s="34" t="s">
        <v>211</v>
      </c>
      <c r="C85" s="60">
        <f>SUM(C11:C84)</f>
        <v>153988127.90999997</v>
      </c>
      <c r="E85" s="60">
        <f>SUM(E11:E84)</f>
        <v>230174831.30000001</v>
      </c>
      <c r="H85" s="60">
        <f>SUM(H11:H84)</f>
        <v>274458919.85000002</v>
      </c>
      <c r="J85" s="60">
        <f>SUM(J11:J84)</f>
        <v>184935850.19999999</v>
      </c>
      <c r="L85" s="119">
        <f>SUM(L11:L84)</f>
        <v>196855448.69000003</v>
      </c>
      <c r="N85" s="60">
        <f>SUM(N11:N84)</f>
        <v>-11889536.449999997</v>
      </c>
      <c r="P85" s="71">
        <f>SUM(P11:P84)</f>
        <v>-7188881.1899999985</v>
      </c>
      <c r="Q85" s="83">
        <f>SUM(Q11:Q84)</f>
        <v>9063738.5899999999</v>
      </c>
    </row>
    <row r="87" spans="1:21" x14ac:dyDescent="0.3">
      <c r="A87" s="1" t="s">
        <v>210</v>
      </c>
    </row>
    <row r="88" spans="1:21" x14ac:dyDescent="0.3">
      <c r="L88" s="121"/>
      <c r="Q88" s="71">
        <f>Q85-'August 2026 -AR Aging'!G372</f>
        <v>0</v>
      </c>
    </row>
    <row r="89" spans="1:21" x14ac:dyDescent="0.3">
      <c r="A89" s="31" t="s">
        <v>84</v>
      </c>
      <c r="B89" s="32">
        <f>SUMIF(N11:N84,"&lt;0")</f>
        <v>-14782827.109999996</v>
      </c>
      <c r="C89" s="12" t="str">
        <f>IF(B89&lt;0,"OVER","UNDER")</f>
        <v>OVER</v>
      </c>
      <c r="L89" s="120"/>
    </row>
    <row r="90" spans="1:21" x14ac:dyDescent="0.3">
      <c r="A90" s="31"/>
      <c r="B90" s="32">
        <f>SUMIF(N11:N84,"&gt;0")</f>
        <v>2893290.6599999978</v>
      </c>
      <c r="C90" s="12" t="str">
        <f>IF(B90&lt;0,"OVER","UNDER")</f>
        <v>UNDER</v>
      </c>
      <c r="L90" s="120"/>
      <c r="S90" s="71"/>
    </row>
    <row r="91" spans="1:21" ht="15" thickBot="1" x14ac:dyDescent="0.35">
      <c r="B91" s="30">
        <f>SUM(B89:B90)</f>
        <v>-11889536.449999997</v>
      </c>
      <c r="C91" s="101">
        <f>B91-N85</f>
        <v>0</v>
      </c>
      <c r="S91" s="71"/>
      <c r="T91" s="71"/>
      <c r="U91" s="71"/>
    </row>
    <row r="92" spans="1:21" x14ac:dyDescent="0.3">
      <c r="N92" s="114"/>
      <c r="S92" s="71"/>
    </row>
    <row r="93" spans="1:21" x14ac:dyDescent="0.3">
      <c r="B93" s="54" t="s">
        <v>55</v>
      </c>
      <c r="C93" s="54" t="s">
        <v>44</v>
      </c>
      <c r="S93" s="71"/>
    </row>
    <row r="94" spans="1:21" x14ac:dyDescent="0.3">
      <c r="B94" s="9">
        <f>SUM(B89)</f>
        <v>-14782827.109999996</v>
      </c>
      <c r="C94" s="9">
        <v>0</v>
      </c>
      <c r="S94" s="71"/>
    </row>
    <row r="95" spans="1:21" ht="15" thickBot="1" x14ac:dyDescent="0.35">
      <c r="B95" s="61">
        <f>IF(B90&lt;0,B90,0)</f>
        <v>0</v>
      </c>
      <c r="C95" s="61">
        <f>IF(B90&gt;0,B90,0)</f>
        <v>2893290.6599999978</v>
      </c>
    </row>
    <row r="96" spans="1:21" ht="15" thickTop="1" x14ac:dyDescent="0.3">
      <c r="B96" s="9">
        <f>SUM(B94:B95)</f>
        <v>-14782827.109999996</v>
      </c>
      <c r="C96" s="9">
        <f>SUM(C94:C95)</f>
        <v>2893290.6599999978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6:N6"/>
    <mergeCell ref="P6:Q6"/>
  </mergeCells>
  <phoneticPr fontId="25" type="noConversion"/>
  <pageMargins left="0.2" right="0.2" top="0.5" bottom="0.75" header="0.3" footer="0.3"/>
  <pageSetup scale="46" orientation="landscape" r:id="rId1"/>
  <headerFooter>
    <oddFooter>&amp;C&amp;A
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6:M441"/>
  <sheetViews>
    <sheetView tabSelected="1" topLeftCell="A345" zoomScaleNormal="100" zoomScaleSheetLayoutView="100" workbookViewId="0">
      <selection activeCell="A372" sqref="A372:XFD372"/>
    </sheetView>
  </sheetViews>
  <sheetFormatPr defaultColWidth="9.109375" defaultRowHeight="14.4" x14ac:dyDescent="0.3"/>
  <cols>
    <col min="1" max="1" width="34.6640625" customWidth="1"/>
    <col min="2" max="2" width="18.5546875" customWidth="1"/>
    <col min="3" max="3" width="11.6640625" bestFit="1" customWidth="1"/>
    <col min="4" max="4" width="13.5546875" bestFit="1" customWidth="1"/>
    <col min="5" max="5" width="17.5546875" style="71" bestFit="1" customWidth="1"/>
    <col min="6" max="6" width="17.109375" style="71" bestFit="1" customWidth="1"/>
    <col min="7" max="7" width="15.109375" style="71" bestFit="1" customWidth="1"/>
    <col min="8" max="8" width="17.109375" style="71" bestFit="1" customWidth="1"/>
    <col min="9" max="9" width="15.109375" style="71" bestFit="1" customWidth="1"/>
    <col min="10" max="11" width="15.44140625" style="71" bestFit="1" customWidth="1"/>
    <col min="12" max="12" width="16.6640625" style="71" bestFit="1" customWidth="1"/>
    <col min="13" max="13" width="18.88671875" customWidth="1"/>
  </cols>
  <sheetData>
    <row r="6" spans="1:13" ht="18" x14ac:dyDescent="0.35">
      <c r="A6" s="123" t="s">
        <v>539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</row>
    <row r="7" spans="1:13" ht="15" thickBot="1" x14ac:dyDescent="0.35"/>
    <row r="8" spans="1:13" ht="15" thickBot="1" x14ac:dyDescent="0.35">
      <c r="A8" s="92" t="s">
        <v>93</v>
      </c>
      <c r="B8" s="93" t="s">
        <v>85</v>
      </c>
      <c r="C8" s="93" t="s">
        <v>86</v>
      </c>
      <c r="D8" s="94"/>
      <c r="E8" s="88" t="s">
        <v>94</v>
      </c>
      <c r="F8" s="88" t="s">
        <v>95</v>
      </c>
      <c r="G8" s="88" t="s">
        <v>87</v>
      </c>
      <c r="H8" s="88" t="s">
        <v>88</v>
      </c>
      <c r="I8" s="88" t="s">
        <v>89</v>
      </c>
      <c r="J8" s="88" t="s">
        <v>90</v>
      </c>
      <c r="K8" s="88" t="s">
        <v>96</v>
      </c>
      <c r="L8" s="95" t="s">
        <v>97</v>
      </c>
    </row>
    <row r="9" spans="1:13" x14ac:dyDescent="0.3">
      <c r="A9" s="2" t="s">
        <v>231</v>
      </c>
      <c r="E9"/>
      <c r="F9"/>
      <c r="G9"/>
      <c r="H9"/>
      <c r="I9"/>
      <c r="J9"/>
      <c r="K9"/>
      <c r="L9"/>
    </row>
    <row r="10" spans="1:13" x14ac:dyDescent="0.3">
      <c r="E10"/>
      <c r="F10"/>
      <c r="G10"/>
      <c r="H10"/>
      <c r="I10"/>
      <c r="J10"/>
      <c r="K10"/>
      <c r="L10"/>
    </row>
    <row r="11" spans="1:13" x14ac:dyDescent="0.3">
      <c r="B11" s="59">
        <v>2296</v>
      </c>
      <c r="C11" s="1" t="s">
        <v>317</v>
      </c>
      <c r="D11" s="122" t="s">
        <v>540</v>
      </c>
      <c r="E11"/>
      <c r="F11" s="66">
        <v>13398</v>
      </c>
      <c r="G11" s="66">
        <v>13398</v>
      </c>
      <c r="H11"/>
      <c r="I11"/>
      <c r="J11"/>
      <c r="K11"/>
      <c r="L11"/>
      <c r="M11" s="67">
        <v>0</v>
      </c>
    </row>
    <row r="12" spans="1:13" x14ac:dyDescent="0.3">
      <c r="B12" s="59">
        <v>2299</v>
      </c>
      <c r="C12" s="1" t="s">
        <v>318</v>
      </c>
      <c r="D12" s="122" t="s">
        <v>540</v>
      </c>
      <c r="E12"/>
      <c r="F12" s="66">
        <v>23187.41</v>
      </c>
      <c r="G12" s="66">
        <v>23187.41</v>
      </c>
      <c r="H12"/>
      <c r="I12"/>
      <c r="J12"/>
      <c r="K12"/>
      <c r="L12"/>
      <c r="M12" s="67">
        <v>0</v>
      </c>
    </row>
    <row r="13" spans="1:13" x14ac:dyDescent="0.3">
      <c r="B13" s="59">
        <v>2338</v>
      </c>
      <c r="C13" s="1" t="s">
        <v>319</v>
      </c>
      <c r="D13" s="122" t="s">
        <v>540</v>
      </c>
      <c r="E13"/>
      <c r="F13" s="66">
        <v>7895.9</v>
      </c>
      <c r="G13" s="66">
        <v>7895.9</v>
      </c>
      <c r="H13"/>
      <c r="I13"/>
      <c r="J13"/>
      <c r="K13"/>
      <c r="L13"/>
      <c r="M13" s="67">
        <v>0</v>
      </c>
    </row>
    <row r="14" spans="1:13" x14ac:dyDescent="0.3">
      <c r="B14" s="59">
        <v>2357</v>
      </c>
      <c r="C14" s="1" t="s">
        <v>320</v>
      </c>
      <c r="D14" s="122" t="s">
        <v>540</v>
      </c>
      <c r="E14"/>
      <c r="F14" s="66">
        <v>62501.599999999999</v>
      </c>
      <c r="G14" s="66">
        <v>62501.599999999999</v>
      </c>
      <c r="H14"/>
      <c r="I14"/>
      <c r="J14"/>
      <c r="K14"/>
      <c r="L14"/>
      <c r="M14" s="67">
        <v>0</v>
      </c>
    </row>
    <row r="15" spans="1:13" x14ac:dyDescent="0.3">
      <c r="B15" s="59">
        <v>2412</v>
      </c>
      <c r="C15" s="1" t="s">
        <v>321</v>
      </c>
      <c r="D15" s="122" t="s">
        <v>540</v>
      </c>
      <c r="E15"/>
      <c r="F15" s="66">
        <v>161525.62</v>
      </c>
      <c r="G15" s="66">
        <v>161525.62</v>
      </c>
      <c r="H15"/>
      <c r="I15"/>
      <c r="J15"/>
      <c r="K15"/>
      <c r="L15"/>
      <c r="M15" s="67">
        <v>0</v>
      </c>
    </row>
    <row r="16" spans="1:13" x14ac:dyDescent="0.3">
      <c r="B16" s="59">
        <v>2413</v>
      </c>
      <c r="C16" s="1" t="s">
        <v>322</v>
      </c>
      <c r="D16" s="122" t="s">
        <v>540</v>
      </c>
      <c r="E16"/>
      <c r="F16" s="66">
        <v>121182.19</v>
      </c>
      <c r="G16" s="66">
        <v>121182.19</v>
      </c>
      <c r="H16"/>
      <c r="I16"/>
      <c r="J16"/>
      <c r="K16"/>
      <c r="L16"/>
      <c r="M16" s="67">
        <v>0</v>
      </c>
    </row>
    <row r="17" spans="2:13" x14ac:dyDescent="0.3">
      <c r="B17" s="59">
        <v>2427</v>
      </c>
      <c r="C17" s="1" t="s">
        <v>323</v>
      </c>
      <c r="D17" s="122" t="s">
        <v>540</v>
      </c>
      <c r="E17"/>
      <c r="F17" s="66">
        <v>177312.62</v>
      </c>
      <c r="G17" s="66">
        <v>177312.62</v>
      </c>
      <c r="H17"/>
      <c r="I17"/>
      <c r="J17"/>
      <c r="K17"/>
      <c r="L17"/>
      <c r="M17" s="67">
        <v>0</v>
      </c>
    </row>
    <row r="18" spans="2:13" x14ac:dyDescent="0.3">
      <c r="B18" s="59">
        <v>2445</v>
      </c>
      <c r="C18" s="1" t="s">
        <v>324</v>
      </c>
      <c r="D18" s="122" t="s">
        <v>540</v>
      </c>
      <c r="E18"/>
      <c r="F18" s="66">
        <v>109200.05</v>
      </c>
      <c r="G18" s="66">
        <v>109200.05</v>
      </c>
      <c r="H18"/>
      <c r="I18"/>
      <c r="J18"/>
      <c r="K18"/>
      <c r="L18"/>
      <c r="M18" s="67">
        <v>0</v>
      </c>
    </row>
    <row r="19" spans="2:13" x14ac:dyDescent="0.3">
      <c r="B19" s="59">
        <v>2460</v>
      </c>
      <c r="C19" s="1" t="s">
        <v>325</v>
      </c>
      <c r="D19" s="122" t="s">
        <v>540</v>
      </c>
      <c r="E19"/>
      <c r="F19" s="66">
        <v>204970.17</v>
      </c>
      <c r="G19" s="66">
        <v>204970.17</v>
      </c>
      <c r="H19"/>
      <c r="I19"/>
      <c r="J19"/>
      <c r="K19"/>
      <c r="L19"/>
      <c r="M19" s="67">
        <v>0</v>
      </c>
    </row>
    <row r="20" spans="2:13" x14ac:dyDescent="0.3">
      <c r="B20" s="59">
        <v>2486</v>
      </c>
      <c r="C20" s="1" t="s">
        <v>326</v>
      </c>
      <c r="D20" s="122" t="s">
        <v>540</v>
      </c>
      <c r="E20"/>
      <c r="F20" s="66">
        <v>147771.54999999999</v>
      </c>
      <c r="G20" s="66">
        <v>147771.54999999999</v>
      </c>
      <c r="H20"/>
      <c r="I20"/>
      <c r="J20"/>
      <c r="K20"/>
      <c r="L20"/>
      <c r="M20" s="67">
        <v>0</v>
      </c>
    </row>
    <row r="21" spans="2:13" x14ac:dyDescent="0.3">
      <c r="B21" s="59">
        <v>2510</v>
      </c>
      <c r="C21" s="1" t="s">
        <v>327</v>
      </c>
      <c r="D21" s="122" t="s">
        <v>540</v>
      </c>
      <c r="E21"/>
      <c r="F21" s="66">
        <v>175869.58</v>
      </c>
      <c r="G21" s="66">
        <v>175869.58</v>
      </c>
      <c r="H21"/>
      <c r="I21"/>
      <c r="J21"/>
      <c r="K21"/>
      <c r="L21"/>
      <c r="M21" s="67">
        <v>0</v>
      </c>
    </row>
    <row r="22" spans="2:13" x14ac:dyDescent="0.3">
      <c r="B22" s="59">
        <v>2532</v>
      </c>
      <c r="C22" s="1" t="s">
        <v>329</v>
      </c>
      <c r="D22" s="122" t="s">
        <v>540</v>
      </c>
      <c r="E22"/>
      <c r="F22" s="66">
        <v>169230.79</v>
      </c>
      <c r="G22" s="66">
        <v>169230.79</v>
      </c>
      <c r="H22"/>
      <c r="I22"/>
      <c r="J22"/>
      <c r="K22"/>
      <c r="L22"/>
      <c r="M22" s="67">
        <v>0</v>
      </c>
    </row>
    <row r="23" spans="2:13" x14ac:dyDescent="0.3">
      <c r="B23" s="59">
        <v>2556</v>
      </c>
      <c r="C23" s="1" t="s">
        <v>331</v>
      </c>
      <c r="D23" s="122" t="s">
        <v>540</v>
      </c>
      <c r="E23"/>
      <c r="F23" s="66">
        <v>68628.67</v>
      </c>
      <c r="G23" s="66">
        <v>68628.67</v>
      </c>
      <c r="H23"/>
      <c r="I23"/>
      <c r="J23"/>
      <c r="K23"/>
      <c r="L23"/>
      <c r="M23" s="67">
        <v>0</v>
      </c>
    </row>
    <row r="24" spans="2:13" x14ac:dyDescent="0.3">
      <c r="B24" s="59">
        <v>2582</v>
      </c>
      <c r="C24" s="1" t="s">
        <v>332</v>
      </c>
      <c r="D24" s="122" t="s">
        <v>540</v>
      </c>
      <c r="E24"/>
      <c r="F24" s="66">
        <v>35855.47</v>
      </c>
      <c r="G24" s="66">
        <v>35855.47</v>
      </c>
      <c r="H24"/>
      <c r="I24"/>
      <c r="J24"/>
      <c r="K24"/>
      <c r="L24"/>
      <c r="M24" s="67">
        <v>0</v>
      </c>
    </row>
    <row r="25" spans="2:13" x14ac:dyDescent="0.3">
      <c r="B25" s="59">
        <v>2607</v>
      </c>
      <c r="C25" s="1" t="s">
        <v>333</v>
      </c>
      <c r="D25" s="122" t="s">
        <v>540</v>
      </c>
      <c r="E25"/>
      <c r="F25" s="66">
        <v>8135.41</v>
      </c>
      <c r="G25" s="66">
        <v>8135.41</v>
      </c>
      <c r="H25"/>
      <c r="I25"/>
      <c r="J25"/>
      <c r="K25"/>
      <c r="L25"/>
      <c r="M25" s="67">
        <v>0</v>
      </c>
    </row>
    <row r="26" spans="2:13" x14ac:dyDescent="0.3">
      <c r="B26" s="59">
        <v>2655</v>
      </c>
      <c r="C26" s="1" t="s">
        <v>320</v>
      </c>
      <c r="D26" s="122" t="s">
        <v>540</v>
      </c>
      <c r="E26"/>
      <c r="F26" s="66">
        <v>15220.88</v>
      </c>
      <c r="G26" s="66">
        <v>15220.88</v>
      </c>
      <c r="H26"/>
      <c r="I26"/>
      <c r="J26"/>
      <c r="K26"/>
      <c r="L26"/>
      <c r="M26" s="67">
        <v>0</v>
      </c>
    </row>
    <row r="27" spans="2:13" x14ac:dyDescent="0.3">
      <c r="B27" s="59">
        <v>2656</v>
      </c>
      <c r="C27" s="1" t="s">
        <v>321</v>
      </c>
      <c r="D27" s="122" t="s">
        <v>540</v>
      </c>
      <c r="E27"/>
      <c r="F27" s="66">
        <v>16545.54</v>
      </c>
      <c r="G27" s="66">
        <v>16545.54</v>
      </c>
      <c r="H27"/>
      <c r="I27"/>
      <c r="J27"/>
      <c r="K27"/>
      <c r="L27"/>
      <c r="M27" s="67">
        <v>0</v>
      </c>
    </row>
    <row r="28" spans="2:13" x14ac:dyDescent="0.3">
      <c r="B28" s="59">
        <v>2699</v>
      </c>
      <c r="C28" s="1" t="s">
        <v>334</v>
      </c>
      <c r="D28" s="122" t="s">
        <v>540</v>
      </c>
      <c r="E28"/>
      <c r="F28" s="66">
        <v>6326.17</v>
      </c>
      <c r="G28" s="66">
        <v>6326.17</v>
      </c>
      <c r="H28"/>
      <c r="I28"/>
      <c r="J28"/>
      <c r="K28"/>
      <c r="L28"/>
      <c r="M28" s="67">
        <v>0</v>
      </c>
    </row>
    <row r="29" spans="2:13" x14ac:dyDescent="0.3">
      <c r="B29" s="59">
        <v>2735</v>
      </c>
      <c r="C29" s="1" t="s">
        <v>324</v>
      </c>
      <c r="D29" s="122" t="s">
        <v>540</v>
      </c>
      <c r="E29"/>
      <c r="F29" s="66">
        <v>2179.2600000000002</v>
      </c>
      <c r="G29" s="66">
        <v>2179.2600000000002</v>
      </c>
      <c r="H29"/>
      <c r="I29"/>
      <c r="J29"/>
      <c r="K29"/>
      <c r="L29"/>
      <c r="M29" s="67">
        <v>0</v>
      </c>
    </row>
    <row r="30" spans="2:13" x14ac:dyDescent="0.3">
      <c r="B30" s="59">
        <v>2779</v>
      </c>
      <c r="C30" s="1" t="s">
        <v>541</v>
      </c>
      <c r="D30" s="122" t="s">
        <v>540</v>
      </c>
      <c r="E30"/>
      <c r="F30" s="66">
        <v>105000</v>
      </c>
      <c r="G30" s="66">
        <v>10500</v>
      </c>
      <c r="H30">
        <v>94500</v>
      </c>
      <c r="I30"/>
      <c r="J30"/>
      <c r="K30"/>
      <c r="L30"/>
      <c r="M30" s="67">
        <v>94500</v>
      </c>
    </row>
    <row r="31" spans="2:13" x14ac:dyDescent="0.3">
      <c r="E31"/>
      <c r="F31"/>
      <c r="G31"/>
      <c r="H31"/>
      <c r="I31"/>
      <c r="J31"/>
      <c r="K31"/>
      <c r="L31"/>
    </row>
    <row r="32" spans="2:13" x14ac:dyDescent="0.3">
      <c r="E32" s="34" t="s">
        <v>91</v>
      </c>
      <c r="F32" s="60">
        <v>1631936.88</v>
      </c>
      <c r="G32" s="60">
        <v>1537436.88</v>
      </c>
      <c r="H32" s="60">
        <v>94500</v>
      </c>
      <c r="I32" s="60">
        <v>0</v>
      </c>
      <c r="J32" s="60">
        <v>0</v>
      </c>
      <c r="K32" s="60">
        <v>0</v>
      </c>
      <c r="L32" s="60">
        <v>0</v>
      </c>
      <c r="M32" s="60">
        <v>94500</v>
      </c>
    </row>
    <row r="33" spans="1:13" x14ac:dyDescent="0.3">
      <c r="E33"/>
      <c r="F33"/>
      <c r="G33"/>
      <c r="H33"/>
      <c r="I33"/>
      <c r="J33"/>
      <c r="K33"/>
      <c r="L33"/>
    </row>
    <row r="34" spans="1:13" x14ac:dyDescent="0.3">
      <c r="A34" s="2" t="s">
        <v>238</v>
      </c>
      <c r="E34"/>
      <c r="F34"/>
      <c r="G34"/>
      <c r="H34"/>
      <c r="I34"/>
      <c r="J34"/>
      <c r="K34"/>
      <c r="L34"/>
    </row>
    <row r="35" spans="1:13" x14ac:dyDescent="0.3">
      <c r="E35"/>
      <c r="F35"/>
      <c r="G35"/>
      <c r="H35"/>
      <c r="I35"/>
      <c r="J35"/>
      <c r="K35"/>
      <c r="L35"/>
    </row>
    <row r="36" spans="1:13" x14ac:dyDescent="0.3">
      <c r="B36" s="59">
        <v>2744</v>
      </c>
      <c r="C36" s="1" t="s">
        <v>336</v>
      </c>
      <c r="D36" s="122" t="s">
        <v>335</v>
      </c>
      <c r="E36"/>
      <c r="F36" s="66">
        <v>-6868.32</v>
      </c>
      <c r="G36" s="66">
        <v>0</v>
      </c>
      <c r="H36"/>
      <c r="I36"/>
      <c r="J36"/>
      <c r="K36">
        <v>-6868.32</v>
      </c>
      <c r="L36"/>
      <c r="M36" s="67">
        <v>-6868.32</v>
      </c>
    </row>
    <row r="37" spans="1:13" x14ac:dyDescent="0.3">
      <c r="E37"/>
      <c r="F37"/>
      <c r="G37"/>
      <c r="H37"/>
      <c r="I37"/>
      <c r="J37"/>
      <c r="K37"/>
      <c r="L37"/>
    </row>
    <row r="38" spans="1:13" x14ac:dyDescent="0.3">
      <c r="E38" s="34" t="s">
        <v>91</v>
      </c>
      <c r="F38" s="60">
        <v>-6868.32</v>
      </c>
      <c r="G38" s="60">
        <v>0</v>
      </c>
      <c r="H38" s="60">
        <v>0</v>
      </c>
      <c r="I38" s="60">
        <v>0</v>
      </c>
      <c r="J38" s="60">
        <v>0</v>
      </c>
      <c r="K38" s="60">
        <v>-6868.32</v>
      </c>
      <c r="L38" s="60">
        <v>0</v>
      </c>
      <c r="M38" s="60">
        <v>-6868.32</v>
      </c>
    </row>
    <row r="39" spans="1:13" x14ac:dyDescent="0.3">
      <c r="E39"/>
      <c r="F39"/>
      <c r="G39"/>
      <c r="H39"/>
      <c r="I39"/>
      <c r="J39"/>
      <c r="K39"/>
      <c r="L39"/>
    </row>
    <row r="40" spans="1:13" x14ac:dyDescent="0.3">
      <c r="A40" s="2" t="s">
        <v>239</v>
      </c>
      <c r="E40"/>
      <c r="F40"/>
      <c r="G40"/>
      <c r="H40"/>
      <c r="I40"/>
      <c r="J40"/>
      <c r="K40"/>
      <c r="L40"/>
    </row>
    <row r="41" spans="1:13" x14ac:dyDescent="0.3">
      <c r="E41"/>
      <c r="F41"/>
      <c r="G41"/>
      <c r="H41"/>
      <c r="I41"/>
      <c r="J41"/>
      <c r="K41"/>
      <c r="L41"/>
    </row>
    <row r="42" spans="1:13" x14ac:dyDescent="0.3">
      <c r="B42" s="59">
        <v>2428</v>
      </c>
      <c r="C42" s="1" t="s">
        <v>337</v>
      </c>
      <c r="D42" s="122" t="s">
        <v>338</v>
      </c>
      <c r="E42"/>
      <c r="F42" s="66">
        <v>13682.61</v>
      </c>
      <c r="G42" s="66">
        <v>13682.61</v>
      </c>
      <c r="H42"/>
      <c r="I42"/>
      <c r="J42"/>
      <c r="K42"/>
      <c r="L42"/>
      <c r="M42" s="67">
        <v>0</v>
      </c>
    </row>
    <row r="43" spans="1:13" x14ac:dyDescent="0.3">
      <c r="B43" s="59">
        <v>2443</v>
      </c>
      <c r="C43" s="1" t="s">
        <v>339</v>
      </c>
      <c r="D43" s="122" t="s">
        <v>338</v>
      </c>
      <c r="E43"/>
      <c r="F43" s="66">
        <v>3697.83</v>
      </c>
      <c r="G43" s="66">
        <v>3697.83</v>
      </c>
      <c r="H43"/>
      <c r="I43"/>
      <c r="J43"/>
      <c r="K43"/>
      <c r="L43"/>
      <c r="M43" s="67">
        <v>0</v>
      </c>
    </row>
    <row r="44" spans="1:13" x14ac:dyDescent="0.3">
      <c r="B44" s="59">
        <v>2491</v>
      </c>
      <c r="C44" s="1" t="s">
        <v>340</v>
      </c>
      <c r="D44" s="122" t="s">
        <v>338</v>
      </c>
      <c r="E44"/>
      <c r="F44" s="66">
        <v>10060.89</v>
      </c>
      <c r="G44" s="66">
        <v>10060.89</v>
      </c>
      <c r="H44"/>
      <c r="I44"/>
      <c r="J44"/>
      <c r="K44"/>
      <c r="L44"/>
      <c r="M44" s="67">
        <v>0</v>
      </c>
    </row>
    <row r="45" spans="1:13" x14ac:dyDescent="0.3">
      <c r="B45" s="59">
        <v>2498</v>
      </c>
      <c r="C45" s="1" t="s">
        <v>341</v>
      </c>
      <c r="D45" s="122" t="s">
        <v>338</v>
      </c>
      <c r="E45"/>
      <c r="F45" s="66">
        <v>7312.94</v>
      </c>
      <c r="G45" s="66">
        <v>7312.94</v>
      </c>
      <c r="H45"/>
      <c r="I45"/>
      <c r="J45"/>
      <c r="K45"/>
      <c r="L45"/>
      <c r="M45" s="67">
        <v>0</v>
      </c>
    </row>
    <row r="46" spans="1:13" x14ac:dyDescent="0.3">
      <c r="B46" s="59">
        <v>2537</v>
      </c>
      <c r="C46" s="1" t="s">
        <v>342</v>
      </c>
      <c r="D46" s="122" t="s">
        <v>338</v>
      </c>
      <c r="E46"/>
      <c r="F46" s="66">
        <v>2254.06</v>
      </c>
      <c r="G46" s="66">
        <v>2254.06</v>
      </c>
      <c r="H46"/>
      <c r="I46"/>
      <c r="J46"/>
      <c r="K46"/>
      <c r="L46"/>
      <c r="M46" s="67">
        <v>0</v>
      </c>
    </row>
    <row r="47" spans="1:13" x14ac:dyDescent="0.3">
      <c r="B47" s="59">
        <v>2551</v>
      </c>
      <c r="C47" s="1" t="s">
        <v>343</v>
      </c>
      <c r="D47" s="122" t="s">
        <v>338</v>
      </c>
      <c r="E47"/>
      <c r="F47" s="66">
        <v>-19774.759999999998</v>
      </c>
      <c r="G47" s="66">
        <v>0</v>
      </c>
      <c r="H47"/>
      <c r="I47"/>
      <c r="J47"/>
      <c r="K47"/>
      <c r="L47">
        <v>-19774.759999999998</v>
      </c>
      <c r="M47" s="67">
        <v>-19774.759999999998</v>
      </c>
    </row>
    <row r="48" spans="1:13" x14ac:dyDescent="0.3">
      <c r="B48" s="59">
        <v>2589</v>
      </c>
      <c r="C48" s="1" t="s">
        <v>344</v>
      </c>
      <c r="D48" s="122" t="s">
        <v>338</v>
      </c>
      <c r="E48"/>
      <c r="F48" s="66">
        <v>3270.87</v>
      </c>
      <c r="G48" s="66">
        <v>3270.87</v>
      </c>
      <c r="H48"/>
      <c r="I48"/>
      <c r="J48"/>
      <c r="K48"/>
      <c r="L48"/>
      <c r="M48" s="67">
        <v>0</v>
      </c>
    </row>
    <row r="49" spans="1:13" x14ac:dyDescent="0.3">
      <c r="B49" s="59">
        <v>2605</v>
      </c>
      <c r="C49" s="1" t="s">
        <v>345</v>
      </c>
      <c r="D49" s="122" t="s">
        <v>338</v>
      </c>
      <c r="E49"/>
      <c r="F49" s="66">
        <v>5135.66</v>
      </c>
      <c r="G49" s="66">
        <v>5135.6499999999996</v>
      </c>
      <c r="H49"/>
      <c r="I49"/>
      <c r="J49"/>
      <c r="K49"/>
      <c r="L49">
        <v>1.0000000000218279E-2</v>
      </c>
      <c r="M49" s="67">
        <v>1.0000000000218279E-2</v>
      </c>
    </row>
    <row r="50" spans="1:13" x14ac:dyDescent="0.3">
      <c r="B50" s="59">
        <v>2617</v>
      </c>
      <c r="C50" s="1" t="s">
        <v>346</v>
      </c>
      <c r="D50" s="122" t="s">
        <v>338</v>
      </c>
      <c r="E50"/>
      <c r="F50" s="66">
        <v>1733.83</v>
      </c>
      <c r="G50" s="66">
        <v>1733.83</v>
      </c>
      <c r="H50"/>
      <c r="I50"/>
      <c r="J50"/>
      <c r="K50"/>
      <c r="L50"/>
      <c r="M50" s="67">
        <v>0</v>
      </c>
    </row>
    <row r="51" spans="1:13" x14ac:dyDescent="0.3">
      <c r="B51" s="59">
        <v>2618</v>
      </c>
      <c r="C51" s="1" t="s">
        <v>347</v>
      </c>
      <c r="D51" s="122" t="s">
        <v>348</v>
      </c>
      <c r="E51"/>
      <c r="F51" s="66">
        <v>2651.3</v>
      </c>
      <c r="G51" s="66">
        <v>265.13</v>
      </c>
      <c r="H51"/>
      <c r="I51"/>
      <c r="J51"/>
      <c r="K51"/>
      <c r="L51">
        <v>2386.17</v>
      </c>
      <c r="M51" s="67">
        <v>2386.17</v>
      </c>
    </row>
    <row r="52" spans="1:13" x14ac:dyDescent="0.3">
      <c r="E52"/>
      <c r="F52"/>
      <c r="G52"/>
      <c r="H52"/>
      <c r="I52"/>
      <c r="J52"/>
      <c r="K52"/>
      <c r="L52"/>
    </row>
    <row r="53" spans="1:13" x14ac:dyDescent="0.3">
      <c r="E53" s="34" t="s">
        <v>91</v>
      </c>
      <c r="F53" s="60">
        <v>30025.23</v>
      </c>
      <c r="G53" s="60">
        <v>47413.81</v>
      </c>
      <c r="H53" s="60">
        <v>0</v>
      </c>
      <c r="I53" s="60">
        <v>0</v>
      </c>
      <c r="J53" s="60">
        <v>0</v>
      </c>
      <c r="K53" s="60">
        <v>0</v>
      </c>
      <c r="L53" s="60">
        <v>-17388.580000000002</v>
      </c>
      <c r="M53" s="60">
        <v>-17388.580000000002</v>
      </c>
    </row>
    <row r="54" spans="1:13" x14ac:dyDescent="0.3">
      <c r="E54"/>
      <c r="F54"/>
      <c r="G54"/>
      <c r="H54"/>
      <c r="I54"/>
      <c r="J54"/>
      <c r="K54"/>
      <c r="L54"/>
    </row>
    <row r="55" spans="1:13" x14ac:dyDescent="0.3">
      <c r="A55" s="2" t="s">
        <v>240</v>
      </c>
      <c r="E55"/>
      <c r="F55"/>
      <c r="G55"/>
      <c r="H55"/>
      <c r="I55"/>
      <c r="J55"/>
      <c r="K55"/>
      <c r="L55"/>
    </row>
    <row r="56" spans="1:13" x14ac:dyDescent="0.3">
      <c r="E56"/>
      <c r="F56"/>
      <c r="G56"/>
      <c r="H56"/>
      <c r="I56"/>
      <c r="J56"/>
      <c r="K56"/>
      <c r="L56"/>
    </row>
    <row r="57" spans="1:13" x14ac:dyDescent="0.3">
      <c r="B57" s="59">
        <v>2676</v>
      </c>
      <c r="C57" s="1" t="s">
        <v>349</v>
      </c>
      <c r="D57" s="122" t="s">
        <v>350</v>
      </c>
      <c r="E57"/>
      <c r="F57" s="66">
        <v>1627.43</v>
      </c>
      <c r="G57" s="66">
        <v>1627.43</v>
      </c>
      <c r="H57"/>
      <c r="I57"/>
      <c r="J57"/>
      <c r="K57"/>
      <c r="L57"/>
      <c r="M57" s="67">
        <v>0</v>
      </c>
    </row>
    <row r="58" spans="1:13" x14ac:dyDescent="0.3">
      <c r="E58"/>
      <c r="F58"/>
      <c r="G58"/>
      <c r="H58"/>
      <c r="I58"/>
      <c r="J58"/>
      <c r="K58"/>
      <c r="L58"/>
    </row>
    <row r="59" spans="1:13" x14ac:dyDescent="0.3">
      <c r="E59" s="34" t="s">
        <v>91</v>
      </c>
      <c r="F59" s="60">
        <v>1627.43</v>
      </c>
      <c r="G59" s="60">
        <v>1627.43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</row>
    <row r="60" spans="1:13" x14ac:dyDescent="0.3">
      <c r="E60"/>
      <c r="F60"/>
      <c r="G60"/>
      <c r="H60"/>
      <c r="I60"/>
      <c r="J60"/>
      <c r="K60"/>
      <c r="L60"/>
    </row>
    <row r="61" spans="1:13" x14ac:dyDescent="0.3">
      <c r="A61" s="2" t="s">
        <v>245</v>
      </c>
      <c r="E61"/>
      <c r="F61"/>
      <c r="G61"/>
      <c r="H61"/>
      <c r="I61"/>
      <c r="J61"/>
      <c r="K61"/>
      <c r="L61"/>
    </row>
    <row r="62" spans="1:13" x14ac:dyDescent="0.3">
      <c r="E62"/>
      <c r="F62"/>
      <c r="G62"/>
      <c r="H62"/>
      <c r="I62"/>
      <c r="J62"/>
      <c r="K62"/>
      <c r="L62"/>
    </row>
    <row r="63" spans="1:13" x14ac:dyDescent="0.3">
      <c r="B63" s="59">
        <v>2421</v>
      </c>
      <c r="C63" s="1" t="s">
        <v>351</v>
      </c>
      <c r="D63" s="122" t="s">
        <v>352</v>
      </c>
      <c r="E63"/>
      <c r="F63" s="66">
        <v>5900</v>
      </c>
      <c r="G63" s="66">
        <v>5900</v>
      </c>
      <c r="H63"/>
      <c r="I63"/>
      <c r="J63"/>
      <c r="K63"/>
      <c r="L63"/>
      <c r="M63" s="67">
        <v>0</v>
      </c>
    </row>
    <row r="64" spans="1:13" x14ac:dyDescent="0.3">
      <c r="B64" s="59">
        <v>2462</v>
      </c>
      <c r="C64" s="1" t="s">
        <v>353</v>
      </c>
      <c r="D64" s="122" t="s">
        <v>354</v>
      </c>
      <c r="E64"/>
      <c r="F64" s="66">
        <v>8955.6</v>
      </c>
      <c r="G64" s="66">
        <v>8955.6</v>
      </c>
      <c r="H64"/>
      <c r="I64"/>
      <c r="J64"/>
      <c r="K64"/>
      <c r="L64"/>
      <c r="M64" s="67">
        <v>0</v>
      </c>
    </row>
    <row r="65" spans="2:13" x14ac:dyDescent="0.3">
      <c r="B65" s="59">
        <v>2499</v>
      </c>
      <c r="C65" s="1" t="s">
        <v>355</v>
      </c>
      <c r="D65" s="122" t="s">
        <v>356</v>
      </c>
      <c r="E65"/>
      <c r="F65" s="66">
        <v>28070.9</v>
      </c>
      <c r="G65" s="66">
        <v>28070.9</v>
      </c>
      <c r="H65"/>
      <c r="I65"/>
      <c r="J65"/>
      <c r="K65"/>
      <c r="L65"/>
      <c r="M65" s="67">
        <v>0</v>
      </c>
    </row>
    <row r="66" spans="2:13" x14ac:dyDescent="0.3">
      <c r="B66" s="59">
        <v>2506</v>
      </c>
      <c r="C66" s="1" t="s">
        <v>357</v>
      </c>
      <c r="D66" s="122" t="s">
        <v>358</v>
      </c>
      <c r="E66"/>
      <c r="F66" s="66">
        <v>14480</v>
      </c>
      <c r="G66" s="66">
        <v>14480</v>
      </c>
      <c r="H66"/>
      <c r="I66"/>
      <c r="J66"/>
      <c r="K66"/>
      <c r="L66"/>
      <c r="M66" s="67">
        <v>0</v>
      </c>
    </row>
    <row r="67" spans="2:13" x14ac:dyDescent="0.3">
      <c r="B67" s="59">
        <v>2535</v>
      </c>
      <c r="C67" s="1" t="s">
        <v>359</v>
      </c>
      <c r="D67" s="122" t="s">
        <v>360</v>
      </c>
      <c r="E67"/>
      <c r="F67" s="66">
        <v>17592.5</v>
      </c>
      <c r="G67" s="66">
        <v>17592.5</v>
      </c>
      <c r="H67"/>
      <c r="I67"/>
      <c r="J67"/>
      <c r="K67"/>
      <c r="L67"/>
      <c r="M67" s="67">
        <v>0</v>
      </c>
    </row>
    <row r="68" spans="2:13" x14ac:dyDescent="0.3">
      <c r="B68" s="59">
        <v>2559</v>
      </c>
      <c r="C68" s="1" t="s">
        <v>361</v>
      </c>
      <c r="D68" s="122" t="s">
        <v>362</v>
      </c>
      <c r="E68"/>
      <c r="F68" s="66">
        <v>65296.56</v>
      </c>
      <c r="G68" s="66">
        <v>65296.56</v>
      </c>
      <c r="H68"/>
      <c r="I68"/>
      <c r="J68"/>
      <c r="K68"/>
      <c r="L68"/>
      <c r="M68" s="67">
        <v>0</v>
      </c>
    </row>
    <row r="69" spans="2:13" x14ac:dyDescent="0.3">
      <c r="B69" s="59">
        <v>2585</v>
      </c>
      <c r="C69" s="1" t="s">
        <v>363</v>
      </c>
      <c r="D69" s="122" t="s">
        <v>364</v>
      </c>
      <c r="E69"/>
      <c r="F69" s="66">
        <v>41218.730000000003</v>
      </c>
      <c r="G69" s="66">
        <v>41218.730000000003</v>
      </c>
      <c r="H69"/>
      <c r="I69"/>
      <c r="J69"/>
      <c r="K69"/>
      <c r="L69"/>
      <c r="M69" s="67">
        <v>0</v>
      </c>
    </row>
    <row r="70" spans="2:13" x14ac:dyDescent="0.3">
      <c r="B70" s="59">
        <v>2609</v>
      </c>
      <c r="C70" s="1" t="s">
        <v>365</v>
      </c>
      <c r="D70" s="122" t="s">
        <v>366</v>
      </c>
      <c r="E70"/>
      <c r="F70" s="66">
        <v>45496</v>
      </c>
      <c r="G70" s="66">
        <v>45496</v>
      </c>
      <c r="H70"/>
      <c r="I70"/>
      <c r="J70"/>
      <c r="K70"/>
      <c r="L70"/>
      <c r="M70" s="67">
        <v>0</v>
      </c>
    </row>
    <row r="71" spans="2:13" x14ac:dyDescent="0.3">
      <c r="B71" s="59">
        <v>2647</v>
      </c>
      <c r="C71" s="1" t="s">
        <v>367</v>
      </c>
      <c r="D71" s="122" t="s">
        <v>368</v>
      </c>
      <c r="E71"/>
      <c r="F71" s="66">
        <v>72652.17</v>
      </c>
      <c r="G71" s="66">
        <v>72652.17</v>
      </c>
      <c r="H71"/>
      <c r="I71"/>
      <c r="J71"/>
      <c r="K71"/>
      <c r="L71"/>
      <c r="M71" s="67">
        <v>0</v>
      </c>
    </row>
    <row r="72" spans="2:13" x14ac:dyDescent="0.3">
      <c r="B72" s="59">
        <v>2648</v>
      </c>
      <c r="C72" s="1" t="s">
        <v>369</v>
      </c>
      <c r="D72" s="122" t="s">
        <v>370</v>
      </c>
      <c r="E72"/>
      <c r="F72" s="66">
        <v>64862</v>
      </c>
      <c r="G72" s="66">
        <v>64862</v>
      </c>
      <c r="H72"/>
      <c r="I72"/>
      <c r="J72"/>
      <c r="K72"/>
      <c r="L72"/>
      <c r="M72" s="67">
        <v>0</v>
      </c>
    </row>
    <row r="73" spans="2:13" x14ac:dyDescent="0.3">
      <c r="B73" s="59">
        <v>2677</v>
      </c>
      <c r="C73" s="1" t="s">
        <v>371</v>
      </c>
      <c r="D73" s="122" t="s">
        <v>372</v>
      </c>
      <c r="E73"/>
      <c r="F73" s="66">
        <v>81165.279999999999</v>
      </c>
      <c r="G73" s="66">
        <v>81165.279999999999</v>
      </c>
      <c r="H73"/>
      <c r="I73"/>
      <c r="J73"/>
      <c r="K73"/>
      <c r="L73"/>
      <c r="M73" s="67">
        <v>0</v>
      </c>
    </row>
    <row r="74" spans="2:13" x14ac:dyDescent="0.3">
      <c r="B74" s="59">
        <v>2701</v>
      </c>
      <c r="C74" s="1" t="s">
        <v>351</v>
      </c>
      <c r="D74" s="122" t="s">
        <v>373</v>
      </c>
      <c r="E74"/>
      <c r="F74" s="66">
        <v>67931.25</v>
      </c>
      <c r="G74" s="66">
        <v>67931.25</v>
      </c>
      <c r="H74"/>
      <c r="I74"/>
      <c r="J74"/>
      <c r="K74"/>
      <c r="L74"/>
      <c r="M74" s="67">
        <v>0</v>
      </c>
    </row>
    <row r="75" spans="2:13" x14ac:dyDescent="0.3">
      <c r="B75" s="59">
        <v>2714</v>
      </c>
      <c r="C75" s="1" t="s">
        <v>374</v>
      </c>
      <c r="D75" s="122" t="s">
        <v>375</v>
      </c>
      <c r="E75"/>
      <c r="F75" s="66">
        <v>72659.8</v>
      </c>
      <c r="G75" s="66">
        <v>72659.8</v>
      </c>
      <c r="H75"/>
      <c r="I75"/>
      <c r="J75"/>
      <c r="K75"/>
      <c r="L75"/>
      <c r="M75" s="67">
        <v>0</v>
      </c>
    </row>
    <row r="76" spans="2:13" x14ac:dyDescent="0.3">
      <c r="B76" s="59">
        <v>2729</v>
      </c>
      <c r="C76" s="1" t="s">
        <v>353</v>
      </c>
      <c r="D76" s="122" t="s">
        <v>376</v>
      </c>
      <c r="E76"/>
      <c r="F76" s="66">
        <v>66041.570000000007</v>
      </c>
      <c r="G76" s="66">
        <v>66041.570000000007</v>
      </c>
      <c r="H76"/>
      <c r="I76"/>
      <c r="J76"/>
      <c r="K76"/>
      <c r="L76"/>
      <c r="M76" s="67">
        <v>0</v>
      </c>
    </row>
    <row r="77" spans="2:13" x14ac:dyDescent="0.3">
      <c r="B77" s="59">
        <v>2755</v>
      </c>
      <c r="C77" s="1" t="s">
        <v>355</v>
      </c>
      <c r="D77" s="122" t="s">
        <v>533</v>
      </c>
      <c r="E77"/>
      <c r="F77" s="66">
        <v>366666.98</v>
      </c>
      <c r="G77" s="66">
        <v>36666.699999999997</v>
      </c>
      <c r="H77"/>
      <c r="I77"/>
      <c r="J77">
        <v>330000.27999999997</v>
      </c>
      <c r="K77"/>
      <c r="L77"/>
      <c r="M77" s="67">
        <v>330000.27999999997</v>
      </c>
    </row>
    <row r="78" spans="2:13" x14ac:dyDescent="0.3">
      <c r="B78" s="59">
        <v>2783</v>
      </c>
      <c r="C78" s="1" t="s">
        <v>357</v>
      </c>
      <c r="D78" s="122" t="s">
        <v>542</v>
      </c>
      <c r="E78"/>
      <c r="F78" s="66">
        <v>184722.73</v>
      </c>
      <c r="G78" s="66">
        <v>18472.28</v>
      </c>
      <c r="H78"/>
      <c r="I78">
        <v>166250.45000000001</v>
      </c>
      <c r="J78"/>
      <c r="K78"/>
      <c r="L78"/>
      <c r="M78" s="67">
        <v>166250.45000000001</v>
      </c>
    </row>
    <row r="79" spans="2:13" x14ac:dyDescent="0.3">
      <c r="E79"/>
      <c r="F79"/>
      <c r="G79"/>
      <c r="H79"/>
      <c r="I79"/>
      <c r="J79"/>
      <c r="K79"/>
      <c r="L79"/>
    </row>
    <row r="80" spans="2:13" x14ac:dyDescent="0.3">
      <c r="E80" s="34" t="s">
        <v>91</v>
      </c>
      <c r="F80" s="60">
        <v>1203712.07</v>
      </c>
      <c r="G80" s="60">
        <v>707461.34</v>
      </c>
      <c r="H80" s="60">
        <v>0</v>
      </c>
      <c r="I80" s="60">
        <v>166250.45000000001</v>
      </c>
      <c r="J80" s="60">
        <v>330000.28000000003</v>
      </c>
      <c r="K80" s="60">
        <v>0</v>
      </c>
      <c r="L80" s="60">
        <v>0</v>
      </c>
      <c r="M80" s="60">
        <v>496250.73</v>
      </c>
    </row>
    <row r="81" spans="1:13" x14ac:dyDescent="0.3">
      <c r="E81"/>
      <c r="F81"/>
      <c r="G81"/>
      <c r="H81"/>
      <c r="I81"/>
      <c r="J81"/>
      <c r="K81"/>
      <c r="L81"/>
    </row>
    <row r="82" spans="1:13" x14ac:dyDescent="0.3">
      <c r="A82" s="2" t="s">
        <v>242</v>
      </c>
      <c r="E82"/>
      <c r="F82"/>
      <c r="G82"/>
      <c r="H82"/>
      <c r="I82"/>
      <c r="J82"/>
      <c r="K82"/>
      <c r="L82"/>
    </row>
    <row r="83" spans="1:13" x14ac:dyDescent="0.3">
      <c r="E83"/>
      <c r="F83"/>
      <c r="G83"/>
      <c r="H83"/>
      <c r="I83"/>
      <c r="J83"/>
      <c r="K83"/>
      <c r="L83"/>
    </row>
    <row r="84" spans="1:13" x14ac:dyDescent="0.3">
      <c r="B84" s="59">
        <v>2388</v>
      </c>
      <c r="C84" s="1" t="s">
        <v>377</v>
      </c>
      <c r="D84" s="122" t="s">
        <v>540</v>
      </c>
      <c r="E84"/>
      <c r="F84" s="66">
        <v>3474.9</v>
      </c>
      <c r="G84" s="66">
        <v>0</v>
      </c>
      <c r="H84">
        <v>3474.9</v>
      </c>
      <c r="I84"/>
      <c r="J84"/>
      <c r="K84"/>
      <c r="L84"/>
      <c r="M84" s="67">
        <v>3474.9</v>
      </c>
    </row>
    <row r="85" spans="1:13" x14ac:dyDescent="0.3">
      <c r="B85" s="59">
        <v>2430</v>
      </c>
      <c r="C85" s="1" t="s">
        <v>378</v>
      </c>
      <c r="D85" s="122" t="s">
        <v>540</v>
      </c>
      <c r="E85"/>
      <c r="F85" s="66">
        <v>14725.35</v>
      </c>
      <c r="G85" s="66">
        <v>0</v>
      </c>
      <c r="H85">
        <v>14725.35</v>
      </c>
      <c r="I85"/>
      <c r="J85"/>
      <c r="K85"/>
      <c r="L85"/>
      <c r="M85" s="67">
        <v>14725.35</v>
      </c>
    </row>
    <row r="86" spans="1:13" x14ac:dyDescent="0.3">
      <c r="B86" s="59">
        <v>2442</v>
      </c>
      <c r="C86" s="1" t="s">
        <v>379</v>
      </c>
      <c r="D86" s="122" t="s">
        <v>540</v>
      </c>
      <c r="E86"/>
      <c r="F86" s="66">
        <v>5586.05</v>
      </c>
      <c r="G86" s="66">
        <v>0</v>
      </c>
      <c r="H86">
        <v>5586.05</v>
      </c>
      <c r="I86"/>
      <c r="J86"/>
      <c r="K86"/>
      <c r="L86"/>
      <c r="M86" s="67">
        <v>5586.05</v>
      </c>
    </row>
    <row r="87" spans="1:13" x14ac:dyDescent="0.3">
      <c r="B87" s="59">
        <v>2464</v>
      </c>
      <c r="C87" s="1" t="s">
        <v>380</v>
      </c>
      <c r="D87" s="122" t="s">
        <v>540</v>
      </c>
      <c r="E87"/>
      <c r="F87" s="66">
        <v>14925.28</v>
      </c>
      <c r="G87" s="66">
        <v>0</v>
      </c>
      <c r="H87">
        <v>14925.28</v>
      </c>
      <c r="I87"/>
      <c r="J87"/>
      <c r="K87"/>
      <c r="L87"/>
      <c r="M87" s="67">
        <v>14925.28</v>
      </c>
    </row>
    <row r="88" spans="1:13" x14ac:dyDescent="0.3">
      <c r="B88" s="59">
        <v>2476</v>
      </c>
      <c r="C88" s="1" t="s">
        <v>381</v>
      </c>
      <c r="D88" s="122" t="s">
        <v>540</v>
      </c>
      <c r="E88"/>
      <c r="F88" s="66">
        <v>29578.91</v>
      </c>
      <c r="G88" s="66">
        <v>0</v>
      </c>
      <c r="H88">
        <v>29578.91</v>
      </c>
      <c r="I88"/>
      <c r="J88"/>
      <c r="K88"/>
      <c r="L88"/>
      <c r="M88" s="67">
        <v>29578.91</v>
      </c>
    </row>
    <row r="89" spans="1:13" x14ac:dyDescent="0.3">
      <c r="B89" s="59">
        <v>2508</v>
      </c>
      <c r="C89" s="1" t="s">
        <v>382</v>
      </c>
      <c r="D89" s="122" t="s">
        <v>540</v>
      </c>
      <c r="E89"/>
      <c r="F89" s="66">
        <v>30075.119999999999</v>
      </c>
      <c r="G89" s="66">
        <v>0</v>
      </c>
      <c r="H89">
        <v>30075.119999999999</v>
      </c>
      <c r="I89"/>
      <c r="J89"/>
      <c r="K89"/>
      <c r="L89"/>
      <c r="M89" s="67">
        <v>30075.119999999999</v>
      </c>
    </row>
    <row r="90" spans="1:13" x14ac:dyDescent="0.3">
      <c r="B90" s="59">
        <v>2536</v>
      </c>
      <c r="C90" s="1" t="s">
        <v>383</v>
      </c>
      <c r="D90" s="122" t="s">
        <v>540</v>
      </c>
      <c r="E90"/>
      <c r="F90" s="66">
        <v>158236.19</v>
      </c>
      <c r="G90" s="66">
        <v>0</v>
      </c>
      <c r="H90">
        <v>158236.19</v>
      </c>
      <c r="I90"/>
      <c r="J90"/>
      <c r="K90"/>
      <c r="L90"/>
      <c r="M90" s="67">
        <v>158236.19</v>
      </c>
    </row>
    <row r="91" spans="1:13" x14ac:dyDescent="0.3">
      <c r="B91" s="59">
        <v>2560</v>
      </c>
      <c r="C91" s="1" t="s">
        <v>384</v>
      </c>
      <c r="D91" s="122" t="s">
        <v>540</v>
      </c>
      <c r="E91"/>
      <c r="F91" s="66">
        <v>201762.48</v>
      </c>
      <c r="G91" s="66">
        <v>0</v>
      </c>
      <c r="H91">
        <v>201762.48</v>
      </c>
      <c r="I91"/>
      <c r="J91"/>
      <c r="K91"/>
      <c r="L91"/>
      <c r="M91" s="67">
        <v>201762.48</v>
      </c>
    </row>
    <row r="92" spans="1:13" x14ac:dyDescent="0.3">
      <c r="B92" s="59">
        <v>2586</v>
      </c>
      <c r="C92" s="1" t="s">
        <v>385</v>
      </c>
      <c r="D92" s="122" t="s">
        <v>540</v>
      </c>
      <c r="E92"/>
      <c r="F92" s="66">
        <v>240223.86</v>
      </c>
      <c r="G92" s="66">
        <v>0</v>
      </c>
      <c r="H92">
        <v>240223.86</v>
      </c>
      <c r="I92"/>
      <c r="J92"/>
      <c r="K92"/>
      <c r="L92"/>
      <c r="M92" s="67">
        <v>240223.86</v>
      </c>
    </row>
    <row r="93" spans="1:13" x14ac:dyDescent="0.3">
      <c r="B93" s="59">
        <v>2610</v>
      </c>
      <c r="C93" s="1" t="s">
        <v>386</v>
      </c>
      <c r="D93" s="122" t="s">
        <v>540</v>
      </c>
      <c r="E93"/>
      <c r="F93" s="66">
        <v>208742.27</v>
      </c>
      <c r="G93" s="66">
        <v>0</v>
      </c>
      <c r="H93">
        <v>208742.27</v>
      </c>
      <c r="I93"/>
      <c r="J93"/>
      <c r="K93"/>
      <c r="L93"/>
      <c r="M93" s="67">
        <v>208742.27</v>
      </c>
    </row>
    <row r="94" spans="1:13" x14ac:dyDescent="0.3">
      <c r="B94" s="59">
        <v>2649</v>
      </c>
      <c r="C94" s="1" t="s">
        <v>387</v>
      </c>
      <c r="D94" s="122" t="s">
        <v>540</v>
      </c>
      <c r="E94"/>
      <c r="F94" s="66">
        <v>219826.1</v>
      </c>
      <c r="G94" s="66">
        <v>0</v>
      </c>
      <c r="H94">
        <v>219826.1</v>
      </c>
      <c r="I94"/>
      <c r="J94"/>
      <c r="K94"/>
      <c r="L94"/>
      <c r="M94" s="67">
        <v>219826.1</v>
      </c>
    </row>
    <row r="95" spans="1:13" x14ac:dyDescent="0.3">
      <c r="B95" s="59">
        <v>2653</v>
      </c>
      <c r="C95" s="1" t="s">
        <v>388</v>
      </c>
      <c r="D95" s="122" t="s">
        <v>540</v>
      </c>
      <c r="E95"/>
      <c r="F95" s="66">
        <v>158644.25</v>
      </c>
      <c r="G95" s="66">
        <v>0</v>
      </c>
      <c r="H95">
        <v>158644.25</v>
      </c>
      <c r="I95"/>
      <c r="J95"/>
      <c r="K95"/>
      <c r="L95"/>
      <c r="M95" s="67">
        <v>158644.25</v>
      </c>
    </row>
    <row r="96" spans="1:13" x14ac:dyDescent="0.3">
      <c r="B96" s="59">
        <v>2678</v>
      </c>
      <c r="C96" s="1" t="s">
        <v>377</v>
      </c>
      <c r="D96" s="122" t="s">
        <v>540</v>
      </c>
      <c r="E96"/>
      <c r="F96" s="66">
        <v>139829.37</v>
      </c>
      <c r="G96" s="66">
        <v>0</v>
      </c>
      <c r="H96">
        <v>139829.37</v>
      </c>
      <c r="I96"/>
      <c r="J96"/>
      <c r="K96"/>
      <c r="L96"/>
      <c r="M96" s="67">
        <v>139829.37</v>
      </c>
    </row>
    <row r="97" spans="1:13" x14ac:dyDescent="0.3">
      <c r="B97" s="59">
        <v>2702</v>
      </c>
      <c r="C97" s="1" t="s">
        <v>378</v>
      </c>
      <c r="D97" s="122" t="s">
        <v>540</v>
      </c>
      <c r="E97"/>
      <c r="F97" s="66">
        <v>81647.53</v>
      </c>
      <c r="G97" s="66">
        <v>0</v>
      </c>
      <c r="H97">
        <v>81647.53</v>
      </c>
      <c r="I97"/>
      <c r="J97"/>
      <c r="K97"/>
      <c r="L97"/>
      <c r="M97" s="67">
        <v>81647.53</v>
      </c>
    </row>
    <row r="98" spans="1:13" x14ac:dyDescent="0.3">
      <c r="B98" s="59">
        <v>2715</v>
      </c>
      <c r="C98" s="1" t="s">
        <v>379</v>
      </c>
      <c r="D98" s="122" t="s">
        <v>540</v>
      </c>
      <c r="E98"/>
      <c r="F98" s="66">
        <v>6004.43</v>
      </c>
      <c r="G98" s="66">
        <v>0</v>
      </c>
      <c r="H98">
        <v>6004.43</v>
      </c>
      <c r="I98"/>
      <c r="J98"/>
      <c r="K98"/>
      <c r="L98"/>
      <c r="M98" s="67">
        <v>6004.43</v>
      </c>
    </row>
    <row r="99" spans="1:13" x14ac:dyDescent="0.3">
      <c r="B99" s="59">
        <v>2758</v>
      </c>
      <c r="C99" s="1" t="s">
        <v>380</v>
      </c>
      <c r="D99" s="122" t="s">
        <v>540</v>
      </c>
      <c r="E99"/>
      <c r="F99" s="66">
        <v>7480.88</v>
      </c>
      <c r="G99" s="66">
        <v>0</v>
      </c>
      <c r="H99">
        <v>7480.88</v>
      </c>
      <c r="I99"/>
      <c r="J99"/>
      <c r="K99"/>
      <c r="L99"/>
      <c r="M99" s="67">
        <v>7480.88</v>
      </c>
    </row>
    <row r="100" spans="1:13" x14ac:dyDescent="0.3">
      <c r="E100"/>
      <c r="F100"/>
      <c r="G100"/>
      <c r="H100"/>
      <c r="I100"/>
      <c r="J100"/>
      <c r="K100"/>
      <c r="L100"/>
    </row>
    <row r="101" spans="1:13" x14ac:dyDescent="0.3">
      <c r="E101" s="34" t="s">
        <v>91</v>
      </c>
      <c r="F101" s="60">
        <v>1520762.97</v>
      </c>
      <c r="G101" s="60">
        <v>0</v>
      </c>
      <c r="H101" s="60">
        <v>1520762.97</v>
      </c>
      <c r="I101" s="60">
        <v>0</v>
      </c>
      <c r="J101" s="60">
        <v>0</v>
      </c>
      <c r="K101" s="60">
        <v>0</v>
      </c>
      <c r="L101" s="60">
        <v>0</v>
      </c>
      <c r="M101" s="60">
        <v>1520762.97</v>
      </c>
    </row>
    <row r="102" spans="1:13" x14ac:dyDescent="0.3">
      <c r="E102"/>
      <c r="F102"/>
      <c r="G102"/>
      <c r="H102"/>
      <c r="I102"/>
      <c r="J102"/>
      <c r="K102"/>
      <c r="L102"/>
    </row>
    <row r="103" spans="1:13" x14ac:dyDescent="0.3">
      <c r="A103" s="2" t="s">
        <v>236</v>
      </c>
      <c r="E103"/>
      <c r="F103"/>
      <c r="G103"/>
      <c r="H103"/>
      <c r="I103"/>
      <c r="J103"/>
      <c r="K103"/>
      <c r="L103"/>
    </row>
    <row r="104" spans="1:13" x14ac:dyDescent="0.3">
      <c r="E104"/>
      <c r="F104"/>
      <c r="G104"/>
      <c r="H104"/>
      <c r="I104"/>
      <c r="J104"/>
      <c r="K104"/>
      <c r="L104"/>
    </row>
    <row r="105" spans="1:13" x14ac:dyDescent="0.3">
      <c r="B105" s="59">
        <v>2306</v>
      </c>
      <c r="C105" s="1" t="s">
        <v>389</v>
      </c>
      <c r="D105" s="122" t="s">
        <v>543</v>
      </c>
      <c r="E105"/>
      <c r="F105" s="66">
        <v>28200</v>
      </c>
      <c r="G105" s="66">
        <v>28200</v>
      </c>
      <c r="H105"/>
      <c r="I105"/>
      <c r="J105"/>
      <c r="K105"/>
      <c r="L105"/>
      <c r="M105" s="67">
        <v>0</v>
      </c>
    </row>
    <row r="106" spans="1:13" x14ac:dyDescent="0.3">
      <c r="B106" s="59">
        <v>2340</v>
      </c>
      <c r="C106" s="1" t="s">
        <v>390</v>
      </c>
      <c r="D106" s="122" t="s">
        <v>543</v>
      </c>
      <c r="E106"/>
      <c r="F106" s="66">
        <v>8650</v>
      </c>
      <c r="G106" s="66">
        <v>8650</v>
      </c>
      <c r="H106"/>
      <c r="I106"/>
      <c r="J106"/>
      <c r="K106"/>
      <c r="L106"/>
      <c r="M106" s="67">
        <v>0</v>
      </c>
    </row>
    <row r="107" spans="1:13" x14ac:dyDescent="0.3">
      <c r="B107" s="59">
        <v>2379</v>
      </c>
      <c r="C107" s="1" t="s">
        <v>391</v>
      </c>
      <c r="D107" s="122" t="s">
        <v>543</v>
      </c>
      <c r="E107"/>
      <c r="F107" s="66">
        <v>30350</v>
      </c>
      <c r="G107" s="66">
        <v>30350</v>
      </c>
      <c r="H107"/>
      <c r="I107"/>
      <c r="J107"/>
      <c r="K107"/>
      <c r="L107"/>
      <c r="M107" s="67">
        <v>0</v>
      </c>
    </row>
    <row r="108" spans="1:13" x14ac:dyDescent="0.3">
      <c r="B108" s="59">
        <v>2380</v>
      </c>
      <c r="C108" s="1" t="s">
        <v>392</v>
      </c>
      <c r="D108" s="122" t="s">
        <v>543</v>
      </c>
      <c r="E108"/>
      <c r="F108" s="66">
        <v>10300</v>
      </c>
      <c r="G108" s="66">
        <v>10300</v>
      </c>
      <c r="H108"/>
      <c r="I108"/>
      <c r="J108"/>
      <c r="K108"/>
      <c r="L108"/>
      <c r="M108" s="67">
        <v>0</v>
      </c>
    </row>
    <row r="109" spans="1:13" x14ac:dyDescent="0.3">
      <c r="B109" s="59">
        <v>2410</v>
      </c>
      <c r="C109" s="1" t="s">
        <v>393</v>
      </c>
      <c r="D109" s="122" t="s">
        <v>543</v>
      </c>
      <c r="E109"/>
      <c r="F109" s="66">
        <v>27323.75</v>
      </c>
      <c r="G109" s="66">
        <v>27323.75</v>
      </c>
      <c r="H109"/>
      <c r="I109"/>
      <c r="J109"/>
      <c r="K109"/>
      <c r="L109"/>
      <c r="M109" s="67">
        <v>0</v>
      </c>
    </row>
    <row r="110" spans="1:13" x14ac:dyDescent="0.3">
      <c r="B110" s="59">
        <v>2431</v>
      </c>
      <c r="C110" s="1" t="s">
        <v>394</v>
      </c>
      <c r="D110" s="122" t="s">
        <v>543</v>
      </c>
      <c r="E110"/>
      <c r="F110" s="66">
        <v>33779</v>
      </c>
      <c r="G110" s="66">
        <v>33779</v>
      </c>
      <c r="H110"/>
      <c r="I110"/>
      <c r="J110"/>
      <c r="K110"/>
      <c r="L110"/>
      <c r="M110" s="67">
        <v>0</v>
      </c>
    </row>
    <row r="111" spans="1:13" x14ac:dyDescent="0.3">
      <c r="B111" s="59">
        <v>2448</v>
      </c>
      <c r="C111" s="1" t="s">
        <v>395</v>
      </c>
      <c r="D111" s="122" t="s">
        <v>543</v>
      </c>
      <c r="E111"/>
      <c r="F111" s="66">
        <v>51772.5</v>
      </c>
      <c r="G111" s="66">
        <v>51772.5</v>
      </c>
      <c r="H111"/>
      <c r="I111"/>
      <c r="J111"/>
      <c r="K111"/>
      <c r="L111"/>
      <c r="M111" s="67">
        <v>0</v>
      </c>
    </row>
    <row r="112" spans="1:13" x14ac:dyDescent="0.3">
      <c r="B112" s="59">
        <v>2457</v>
      </c>
      <c r="C112" s="1" t="s">
        <v>396</v>
      </c>
      <c r="D112" s="122" t="s">
        <v>543</v>
      </c>
      <c r="E112"/>
      <c r="F112" s="66">
        <v>100221</v>
      </c>
      <c r="G112" s="66">
        <v>100221</v>
      </c>
      <c r="H112"/>
      <c r="I112"/>
      <c r="J112"/>
      <c r="K112"/>
      <c r="L112"/>
      <c r="M112" s="67">
        <v>0</v>
      </c>
    </row>
    <row r="113" spans="2:13" x14ac:dyDescent="0.3">
      <c r="B113" s="59">
        <v>2490</v>
      </c>
      <c r="C113" s="1" t="s">
        <v>397</v>
      </c>
      <c r="D113" s="122" t="s">
        <v>543</v>
      </c>
      <c r="E113"/>
      <c r="F113" s="66">
        <v>80941.36</v>
      </c>
      <c r="G113" s="66">
        <v>80941.36</v>
      </c>
      <c r="H113"/>
      <c r="I113"/>
      <c r="J113"/>
      <c r="K113"/>
      <c r="L113"/>
      <c r="M113" s="67">
        <v>0</v>
      </c>
    </row>
    <row r="114" spans="2:13" x14ac:dyDescent="0.3">
      <c r="B114" s="59">
        <v>2503</v>
      </c>
      <c r="C114" s="1" t="s">
        <v>398</v>
      </c>
      <c r="D114" s="122" t="s">
        <v>543</v>
      </c>
      <c r="E114"/>
      <c r="F114" s="66">
        <v>177995.15</v>
      </c>
      <c r="G114" s="66">
        <v>177995.15</v>
      </c>
      <c r="H114"/>
      <c r="I114"/>
      <c r="J114"/>
      <c r="K114"/>
      <c r="L114"/>
      <c r="M114" s="67">
        <v>0</v>
      </c>
    </row>
    <row r="115" spans="2:13" x14ac:dyDescent="0.3">
      <c r="B115" s="59">
        <v>2524</v>
      </c>
      <c r="C115" s="1" t="s">
        <v>399</v>
      </c>
      <c r="D115" s="122" t="s">
        <v>543</v>
      </c>
      <c r="E115"/>
      <c r="F115" s="66">
        <v>150451.25</v>
      </c>
      <c r="G115" s="66">
        <v>150451.25</v>
      </c>
      <c r="H115"/>
      <c r="I115"/>
      <c r="J115"/>
      <c r="K115"/>
      <c r="L115"/>
      <c r="M115" s="67">
        <v>0</v>
      </c>
    </row>
    <row r="116" spans="2:13" x14ac:dyDescent="0.3">
      <c r="B116" s="59">
        <v>2561</v>
      </c>
      <c r="C116" s="1" t="s">
        <v>400</v>
      </c>
      <c r="D116" s="122" t="s">
        <v>543</v>
      </c>
      <c r="E116"/>
      <c r="F116" s="66">
        <v>264873</v>
      </c>
      <c r="G116" s="66">
        <v>264873</v>
      </c>
      <c r="H116"/>
      <c r="I116"/>
      <c r="J116"/>
      <c r="K116"/>
      <c r="L116"/>
      <c r="M116" s="67">
        <v>0</v>
      </c>
    </row>
    <row r="117" spans="2:13" x14ac:dyDescent="0.3">
      <c r="B117" s="59">
        <v>2606</v>
      </c>
      <c r="C117" s="1" t="s">
        <v>401</v>
      </c>
      <c r="D117" s="122" t="s">
        <v>543</v>
      </c>
      <c r="E117"/>
      <c r="F117" s="66">
        <v>355957.94</v>
      </c>
      <c r="G117" s="66">
        <v>355957.93</v>
      </c>
      <c r="H117">
        <v>1.0000000009313226E-2</v>
      </c>
      <c r="I117"/>
      <c r="J117"/>
      <c r="K117"/>
      <c r="L117"/>
      <c r="M117" s="67">
        <v>1.0000000009313226E-2</v>
      </c>
    </row>
    <row r="118" spans="2:13" x14ac:dyDescent="0.3">
      <c r="B118" s="59">
        <v>2611</v>
      </c>
      <c r="C118" s="1" t="s">
        <v>402</v>
      </c>
      <c r="D118" s="122" t="s">
        <v>543</v>
      </c>
      <c r="E118"/>
      <c r="F118" s="66">
        <v>201196.48</v>
      </c>
      <c r="G118" s="66">
        <v>201196.48</v>
      </c>
      <c r="H118"/>
      <c r="I118"/>
      <c r="J118"/>
      <c r="K118"/>
      <c r="L118"/>
      <c r="M118" s="67">
        <v>0</v>
      </c>
    </row>
    <row r="119" spans="2:13" x14ac:dyDescent="0.3">
      <c r="B119" s="59">
        <v>2634</v>
      </c>
      <c r="C119" s="1" t="s">
        <v>403</v>
      </c>
      <c r="D119" s="122" t="s">
        <v>543</v>
      </c>
      <c r="E119"/>
      <c r="F119" s="66">
        <v>117347.06</v>
      </c>
      <c r="G119" s="66">
        <v>117347.06</v>
      </c>
      <c r="H119"/>
      <c r="I119"/>
      <c r="J119"/>
      <c r="K119"/>
      <c r="L119"/>
      <c r="M119" s="67">
        <v>0</v>
      </c>
    </row>
    <row r="120" spans="2:13" x14ac:dyDescent="0.3">
      <c r="B120" s="59">
        <v>2652</v>
      </c>
      <c r="C120" s="1" t="s">
        <v>404</v>
      </c>
      <c r="D120" s="122" t="s">
        <v>543</v>
      </c>
      <c r="E120"/>
      <c r="F120" s="66">
        <v>127968.21</v>
      </c>
      <c r="G120" s="66">
        <v>127968.21</v>
      </c>
      <c r="H120"/>
      <c r="I120"/>
      <c r="J120"/>
      <c r="K120"/>
      <c r="L120"/>
      <c r="M120" s="67">
        <v>0</v>
      </c>
    </row>
    <row r="121" spans="2:13" x14ac:dyDescent="0.3">
      <c r="B121" s="59">
        <v>2679</v>
      </c>
      <c r="C121" s="1" t="s">
        <v>393</v>
      </c>
      <c r="D121" s="122" t="s">
        <v>543</v>
      </c>
      <c r="E121"/>
      <c r="F121" s="66">
        <v>212234.06</v>
      </c>
      <c r="G121" s="66">
        <v>212234.06</v>
      </c>
      <c r="H121"/>
      <c r="I121"/>
      <c r="J121"/>
      <c r="K121"/>
      <c r="L121"/>
      <c r="M121" s="67">
        <v>0</v>
      </c>
    </row>
    <row r="122" spans="2:13" x14ac:dyDescent="0.3">
      <c r="B122" s="59">
        <v>2703</v>
      </c>
      <c r="C122" s="1" t="s">
        <v>394</v>
      </c>
      <c r="D122" s="122" t="s">
        <v>543</v>
      </c>
      <c r="E122"/>
      <c r="F122" s="66">
        <v>165373.28</v>
      </c>
      <c r="G122" s="66">
        <v>165373.28</v>
      </c>
      <c r="H122"/>
      <c r="I122"/>
      <c r="J122"/>
      <c r="K122"/>
      <c r="L122"/>
      <c r="M122" s="67">
        <v>0</v>
      </c>
    </row>
    <row r="123" spans="2:13" x14ac:dyDescent="0.3">
      <c r="B123" s="59">
        <v>2720</v>
      </c>
      <c r="C123" s="1" t="s">
        <v>395</v>
      </c>
      <c r="D123" s="122" t="s">
        <v>543</v>
      </c>
      <c r="E123"/>
      <c r="F123" s="66">
        <v>249899.77</v>
      </c>
      <c r="G123" s="66">
        <v>249899.77</v>
      </c>
      <c r="H123"/>
      <c r="I123"/>
      <c r="J123"/>
      <c r="K123"/>
      <c r="L123"/>
      <c r="M123" s="67">
        <v>0</v>
      </c>
    </row>
    <row r="124" spans="2:13" x14ac:dyDescent="0.3">
      <c r="B124" s="59">
        <v>2763</v>
      </c>
      <c r="C124" s="1" t="s">
        <v>396</v>
      </c>
      <c r="D124" s="122" t="s">
        <v>543</v>
      </c>
      <c r="E124"/>
      <c r="F124" s="66">
        <v>260239.72</v>
      </c>
      <c r="G124" s="66">
        <v>260239.72</v>
      </c>
      <c r="H124"/>
      <c r="I124"/>
      <c r="J124"/>
      <c r="K124"/>
      <c r="L124"/>
      <c r="M124" s="67">
        <v>0</v>
      </c>
    </row>
    <row r="125" spans="2:13" x14ac:dyDescent="0.3">
      <c r="B125" s="59">
        <v>2764</v>
      </c>
      <c r="C125" s="1" t="s">
        <v>397</v>
      </c>
      <c r="D125" s="122" t="s">
        <v>540</v>
      </c>
      <c r="E125"/>
      <c r="F125" s="66">
        <v>2792611.06</v>
      </c>
      <c r="G125" s="66">
        <v>279261.11</v>
      </c>
      <c r="H125">
        <v>2513349.9500000002</v>
      </c>
      <c r="I125"/>
      <c r="J125"/>
      <c r="K125"/>
      <c r="L125"/>
      <c r="M125" s="67">
        <v>2513349.9500000002</v>
      </c>
    </row>
    <row r="126" spans="2:13" x14ac:dyDescent="0.3">
      <c r="B126" s="59">
        <v>2795</v>
      </c>
      <c r="C126" s="1" t="s">
        <v>398</v>
      </c>
      <c r="D126" s="122" t="s">
        <v>543</v>
      </c>
      <c r="E126"/>
      <c r="F126" s="66">
        <v>1603314.53</v>
      </c>
      <c r="G126" s="66">
        <v>160331.45000000001</v>
      </c>
      <c r="H126">
        <v>1442983.08</v>
      </c>
      <c r="I126"/>
      <c r="J126"/>
      <c r="K126"/>
      <c r="L126"/>
      <c r="M126" s="67">
        <v>1442983.08</v>
      </c>
    </row>
    <row r="127" spans="2:13" x14ac:dyDescent="0.3">
      <c r="E127"/>
      <c r="F127"/>
      <c r="G127"/>
      <c r="H127"/>
      <c r="I127"/>
      <c r="J127"/>
      <c r="K127"/>
      <c r="L127"/>
    </row>
    <row r="128" spans="2:13" x14ac:dyDescent="0.3">
      <c r="E128" s="34" t="s">
        <v>91</v>
      </c>
      <c r="F128" s="60">
        <v>7050999.1200000001</v>
      </c>
      <c r="G128" s="60">
        <v>3094666.08</v>
      </c>
      <c r="H128" s="60">
        <v>3956333.04</v>
      </c>
      <c r="I128" s="60">
        <v>0</v>
      </c>
      <c r="J128" s="60">
        <v>0</v>
      </c>
      <c r="K128" s="60">
        <v>0</v>
      </c>
      <c r="L128" s="60">
        <v>0</v>
      </c>
      <c r="M128" s="60">
        <v>3956333.04</v>
      </c>
    </row>
    <row r="129" spans="1:13" x14ac:dyDescent="0.3">
      <c r="E129"/>
      <c r="F129"/>
      <c r="G129"/>
      <c r="H129"/>
      <c r="I129"/>
      <c r="J129"/>
      <c r="K129"/>
      <c r="L129"/>
    </row>
    <row r="130" spans="1:13" x14ac:dyDescent="0.3">
      <c r="A130" s="2" t="s">
        <v>243</v>
      </c>
      <c r="E130"/>
      <c r="F130"/>
      <c r="G130"/>
      <c r="H130"/>
      <c r="I130"/>
      <c r="J130"/>
      <c r="K130"/>
      <c r="L130"/>
    </row>
    <row r="131" spans="1:13" x14ac:dyDescent="0.3">
      <c r="E131"/>
      <c r="F131"/>
      <c r="G131"/>
      <c r="H131"/>
      <c r="I131"/>
      <c r="J131"/>
      <c r="K131"/>
      <c r="L131"/>
    </row>
    <row r="132" spans="1:13" x14ac:dyDescent="0.3">
      <c r="B132" s="59">
        <v>2419</v>
      </c>
      <c r="C132" s="1" t="s">
        <v>408</v>
      </c>
      <c r="D132" s="122" t="s">
        <v>543</v>
      </c>
      <c r="E132"/>
      <c r="F132" s="66">
        <v>5611.63</v>
      </c>
      <c r="G132" s="66">
        <v>0</v>
      </c>
      <c r="H132">
        <v>5611.63</v>
      </c>
      <c r="I132"/>
      <c r="J132"/>
      <c r="K132"/>
      <c r="L132"/>
      <c r="M132" s="67">
        <v>5611.63</v>
      </c>
    </row>
    <row r="133" spans="1:13" x14ac:dyDescent="0.3">
      <c r="B133" s="59">
        <v>2469</v>
      </c>
      <c r="C133" s="1" t="s">
        <v>409</v>
      </c>
      <c r="D133" s="122" t="s">
        <v>543</v>
      </c>
      <c r="E133"/>
      <c r="F133" s="66">
        <v>84752.29</v>
      </c>
      <c r="G133" s="66">
        <v>0</v>
      </c>
      <c r="H133">
        <v>84752.29</v>
      </c>
      <c r="I133"/>
      <c r="J133"/>
      <c r="K133"/>
      <c r="L133"/>
      <c r="M133" s="67">
        <v>84752.29</v>
      </c>
    </row>
    <row r="134" spans="1:13" x14ac:dyDescent="0.3">
      <c r="B134" s="59">
        <v>2470</v>
      </c>
      <c r="C134" s="1" t="s">
        <v>410</v>
      </c>
      <c r="D134" s="122" t="s">
        <v>543</v>
      </c>
      <c r="E134"/>
      <c r="F134" s="66">
        <v>111981.19</v>
      </c>
      <c r="G134" s="66">
        <v>0</v>
      </c>
      <c r="H134">
        <v>111981.19</v>
      </c>
      <c r="I134"/>
      <c r="J134"/>
      <c r="K134"/>
      <c r="L134"/>
      <c r="M134" s="67">
        <v>111981.19</v>
      </c>
    </row>
    <row r="135" spans="1:13" x14ac:dyDescent="0.3">
      <c r="B135" s="59">
        <v>2495</v>
      </c>
      <c r="C135" s="1" t="s">
        <v>411</v>
      </c>
      <c r="D135" s="122" t="s">
        <v>406</v>
      </c>
      <c r="E135"/>
      <c r="F135" s="66">
        <v>136069.79999999999</v>
      </c>
      <c r="G135" s="66">
        <v>0</v>
      </c>
      <c r="H135"/>
      <c r="I135"/>
      <c r="J135">
        <v>136069.79999999999</v>
      </c>
      <c r="K135"/>
      <c r="L135"/>
      <c r="M135" s="67">
        <v>136069.79999999999</v>
      </c>
    </row>
    <row r="136" spans="1:13" x14ac:dyDescent="0.3">
      <c r="B136" s="59">
        <v>2502</v>
      </c>
      <c r="C136" s="1" t="s">
        <v>544</v>
      </c>
      <c r="D136" s="122" t="s">
        <v>543</v>
      </c>
      <c r="E136"/>
      <c r="F136" s="66">
        <v>149676.18</v>
      </c>
      <c r="G136" s="66">
        <v>0</v>
      </c>
      <c r="H136">
        <v>149676.18</v>
      </c>
      <c r="I136"/>
      <c r="J136"/>
      <c r="K136"/>
      <c r="L136"/>
      <c r="M136" s="67">
        <v>149676.18</v>
      </c>
    </row>
    <row r="137" spans="1:13" x14ac:dyDescent="0.3">
      <c r="B137" s="59">
        <v>2576</v>
      </c>
      <c r="C137" s="1" t="s">
        <v>412</v>
      </c>
      <c r="D137" s="122" t="s">
        <v>543</v>
      </c>
      <c r="E137"/>
      <c r="F137" s="66">
        <v>39419.660000000003</v>
      </c>
      <c r="G137" s="66">
        <v>0</v>
      </c>
      <c r="H137">
        <v>39419.660000000003</v>
      </c>
      <c r="I137"/>
      <c r="J137"/>
      <c r="K137"/>
      <c r="L137"/>
      <c r="M137" s="67">
        <v>39419.660000000003</v>
      </c>
    </row>
    <row r="138" spans="1:13" x14ac:dyDescent="0.3">
      <c r="B138" s="59">
        <v>2612</v>
      </c>
      <c r="C138" s="1" t="s">
        <v>413</v>
      </c>
      <c r="D138" s="122" t="s">
        <v>543</v>
      </c>
      <c r="E138"/>
      <c r="F138" s="66">
        <v>12248.97</v>
      </c>
      <c r="G138" s="66">
        <v>0</v>
      </c>
      <c r="H138">
        <v>12248.97</v>
      </c>
      <c r="I138"/>
      <c r="J138"/>
      <c r="K138"/>
      <c r="L138"/>
      <c r="M138" s="67">
        <v>12248.97</v>
      </c>
    </row>
    <row r="139" spans="1:13" x14ac:dyDescent="0.3">
      <c r="B139" s="59">
        <v>2635</v>
      </c>
      <c r="C139" s="1" t="s">
        <v>405</v>
      </c>
      <c r="D139" s="122" t="s">
        <v>406</v>
      </c>
      <c r="E139"/>
      <c r="F139" s="66">
        <v>5838.64</v>
      </c>
      <c r="G139" s="66">
        <v>0</v>
      </c>
      <c r="H139"/>
      <c r="I139"/>
      <c r="J139">
        <v>5838.64</v>
      </c>
      <c r="K139"/>
      <c r="L139"/>
      <c r="M139" s="67">
        <v>5838.64</v>
      </c>
    </row>
    <row r="140" spans="1:13" x14ac:dyDescent="0.3">
      <c r="B140" s="59">
        <v>2686</v>
      </c>
      <c r="C140" s="1" t="s">
        <v>407</v>
      </c>
      <c r="D140" s="122" t="s">
        <v>406</v>
      </c>
      <c r="E140"/>
      <c r="F140" s="66">
        <v>4401.6000000000004</v>
      </c>
      <c r="G140" s="66">
        <v>0</v>
      </c>
      <c r="H140"/>
      <c r="I140"/>
      <c r="J140">
        <v>4401.6000000000004</v>
      </c>
      <c r="K140"/>
      <c r="L140"/>
      <c r="M140" s="67">
        <v>4401.6000000000004</v>
      </c>
    </row>
    <row r="141" spans="1:13" x14ac:dyDescent="0.3">
      <c r="B141" s="59">
        <v>2739</v>
      </c>
      <c r="C141" s="1" t="s">
        <v>410</v>
      </c>
      <c r="D141" s="122" t="s">
        <v>543</v>
      </c>
      <c r="E141"/>
      <c r="F141" s="66">
        <v>117719.46</v>
      </c>
      <c r="G141" s="66">
        <v>0</v>
      </c>
      <c r="H141">
        <v>117719.46</v>
      </c>
      <c r="I141"/>
      <c r="J141"/>
      <c r="K141"/>
      <c r="L141"/>
      <c r="M141" s="67">
        <v>117719.46</v>
      </c>
    </row>
    <row r="142" spans="1:13" x14ac:dyDescent="0.3">
      <c r="E142"/>
      <c r="F142"/>
      <c r="G142"/>
      <c r="H142"/>
      <c r="I142"/>
      <c r="J142"/>
      <c r="K142"/>
      <c r="L142"/>
    </row>
    <row r="143" spans="1:13" x14ac:dyDescent="0.3">
      <c r="E143" s="34" t="s">
        <v>91</v>
      </c>
      <c r="F143" s="60">
        <v>667719.42000000004</v>
      </c>
      <c r="G143" s="60">
        <v>0</v>
      </c>
      <c r="H143" s="60">
        <v>521409.38</v>
      </c>
      <c r="I143" s="60">
        <v>0</v>
      </c>
      <c r="J143" s="60">
        <v>146310.04</v>
      </c>
      <c r="K143" s="60">
        <v>0</v>
      </c>
      <c r="L143" s="60">
        <v>0</v>
      </c>
      <c r="M143" s="60">
        <v>667719.42000000004</v>
      </c>
    </row>
    <row r="144" spans="1:13" x14ac:dyDescent="0.3">
      <c r="E144"/>
      <c r="F144"/>
      <c r="G144"/>
      <c r="H144"/>
      <c r="I144"/>
      <c r="J144"/>
      <c r="K144"/>
      <c r="L144"/>
    </row>
    <row r="145" spans="1:13" x14ac:dyDescent="0.3">
      <c r="A145" s="2" t="s">
        <v>545</v>
      </c>
      <c r="E145"/>
      <c r="F145"/>
      <c r="G145"/>
      <c r="H145"/>
      <c r="I145"/>
      <c r="J145"/>
      <c r="K145"/>
      <c r="L145"/>
    </row>
    <row r="146" spans="1:13" x14ac:dyDescent="0.3">
      <c r="E146"/>
      <c r="F146"/>
      <c r="G146"/>
      <c r="H146"/>
      <c r="I146"/>
      <c r="J146"/>
      <c r="K146"/>
      <c r="L146"/>
    </row>
    <row r="147" spans="1:13" x14ac:dyDescent="0.3">
      <c r="B147" s="59">
        <v>2800</v>
      </c>
      <c r="C147" s="1" t="s">
        <v>546</v>
      </c>
      <c r="D147" s="122" t="s">
        <v>547</v>
      </c>
      <c r="E147"/>
      <c r="F147" s="66">
        <v>156518</v>
      </c>
      <c r="G147" s="66">
        <v>0</v>
      </c>
      <c r="H147">
        <v>156518</v>
      </c>
      <c r="I147"/>
      <c r="J147"/>
      <c r="K147"/>
      <c r="L147"/>
      <c r="M147" s="67">
        <v>156518</v>
      </c>
    </row>
    <row r="148" spans="1:13" x14ac:dyDescent="0.3">
      <c r="E148"/>
      <c r="F148"/>
      <c r="G148"/>
      <c r="H148"/>
      <c r="I148"/>
      <c r="J148"/>
      <c r="K148"/>
      <c r="L148"/>
    </row>
    <row r="149" spans="1:13" x14ac:dyDescent="0.3">
      <c r="E149" s="34" t="s">
        <v>91</v>
      </c>
      <c r="F149" s="60">
        <v>156518</v>
      </c>
      <c r="G149" s="60">
        <v>0</v>
      </c>
      <c r="H149" s="60">
        <v>156518</v>
      </c>
      <c r="I149" s="60">
        <v>0</v>
      </c>
      <c r="J149" s="60">
        <v>0</v>
      </c>
      <c r="K149" s="60">
        <v>0</v>
      </c>
      <c r="L149" s="60">
        <v>0</v>
      </c>
      <c r="M149" s="60">
        <v>156518</v>
      </c>
    </row>
    <row r="150" spans="1:13" x14ac:dyDescent="0.3">
      <c r="E150"/>
      <c r="F150"/>
      <c r="G150"/>
      <c r="H150"/>
      <c r="I150"/>
      <c r="J150"/>
      <c r="K150"/>
      <c r="L150"/>
    </row>
    <row r="151" spans="1:13" x14ac:dyDescent="0.3">
      <c r="A151" s="2" t="s">
        <v>247</v>
      </c>
      <c r="E151"/>
      <c r="F151"/>
      <c r="G151"/>
      <c r="H151"/>
      <c r="I151"/>
      <c r="J151"/>
      <c r="K151"/>
      <c r="L151"/>
    </row>
    <row r="152" spans="1:13" x14ac:dyDescent="0.3">
      <c r="E152"/>
      <c r="F152"/>
      <c r="G152"/>
      <c r="H152"/>
      <c r="I152"/>
      <c r="J152"/>
      <c r="K152"/>
      <c r="L152"/>
    </row>
    <row r="153" spans="1:13" x14ac:dyDescent="0.3">
      <c r="B153" s="59">
        <v>2449</v>
      </c>
      <c r="C153" s="1" t="s">
        <v>414</v>
      </c>
      <c r="D153" s="122" t="s">
        <v>415</v>
      </c>
      <c r="E153"/>
      <c r="F153" s="66">
        <v>57234.46</v>
      </c>
      <c r="G153" s="66">
        <v>57234.46</v>
      </c>
      <c r="H153"/>
      <c r="I153"/>
      <c r="J153"/>
      <c r="K153"/>
      <c r="L153"/>
      <c r="M153" s="67">
        <v>0</v>
      </c>
    </row>
    <row r="154" spans="1:13" x14ac:dyDescent="0.3">
      <c r="B154" s="59">
        <v>2458</v>
      </c>
      <c r="C154" s="1" t="s">
        <v>416</v>
      </c>
      <c r="D154" s="122" t="s">
        <v>417</v>
      </c>
      <c r="E154"/>
      <c r="F154" s="66">
        <v>7209.68</v>
      </c>
      <c r="G154" s="66">
        <v>7209.68</v>
      </c>
      <c r="H154"/>
      <c r="I154"/>
      <c r="J154"/>
      <c r="K154"/>
      <c r="L154"/>
      <c r="M154" s="67">
        <v>0</v>
      </c>
    </row>
    <row r="155" spans="1:13" x14ac:dyDescent="0.3">
      <c r="B155" s="59">
        <v>2492</v>
      </c>
      <c r="C155" s="1" t="s">
        <v>418</v>
      </c>
      <c r="D155" s="122" t="s">
        <v>419</v>
      </c>
      <c r="E155"/>
      <c r="F155" s="66">
        <v>22824.91</v>
      </c>
      <c r="G155" s="66">
        <v>22824.91</v>
      </c>
      <c r="H155"/>
      <c r="I155"/>
      <c r="J155"/>
      <c r="K155"/>
      <c r="L155"/>
      <c r="M155" s="67">
        <v>0</v>
      </c>
    </row>
    <row r="156" spans="1:13" x14ac:dyDescent="0.3">
      <c r="B156" s="59">
        <v>2505</v>
      </c>
      <c r="C156" s="1" t="s">
        <v>420</v>
      </c>
      <c r="D156" s="122" t="s">
        <v>328</v>
      </c>
      <c r="E156"/>
      <c r="F156" s="66">
        <v>44123.75</v>
      </c>
      <c r="G156" s="66">
        <v>44123.75</v>
      </c>
      <c r="H156"/>
      <c r="I156"/>
      <c r="J156"/>
      <c r="K156"/>
      <c r="L156"/>
      <c r="M156" s="67">
        <v>0</v>
      </c>
    </row>
    <row r="157" spans="1:13" x14ac:dyDescent="0.3">
      <c r="B157" s="59">
        <v>2554</v>
      </c>
      <c r="C157" s="1" t="s">
        <v>421</v>
      </c>
      <c r="D157" s="122" t="s">
        <v>330</v>
      </c>
      <c r="E157"/>
      <c r="F157" s="66">
        <v>153604.04999999999</v>
      </c>
      <c r="G157" s="66">
        <v>153604.04999999999</v>
      </c>
      <c r="H157"/>
      <c r="I157"/>
      <c r="J157"/>
      <c r="K157"/>
      <c r="L157"/>
      <c r="M157" s="67">
        <v>0</v>
      </c>
    </row>
    <row r="158" spans="1:13" x14ac:dyDescent="0.3">
      <c r="B158" s="59">
        <v>2620</v>
      </c>
      <c r="C158" s="1" t="s">
        <v>422</v>
      </c>
      <c r="D158" s="122" t="s">
        <v>423</v>
      </c>
      <c r="E158"/>
      <c r="F158" s="66">
        <v>57027.22</v>
      </c>
      <c r="G158" s="66">
        <v>57027.22</v>
      </c>
      <c r="H158"/>
      <c r="I158"/>
      <c r="J158"/>
      <c r="K158"/>
      <c r="L158"/>
      <c r="M158" s="67">
        <v>0</v>
      </c>
    </row>
    <row r="159" spans="1:13" x14ac:dyDescent="0.3">
      <c r="B159" s="59">
        <v>2621</v>
      </c>
      <c r="C159" s="1" t="s">
        <v>424</v>
      </c>
      <c r="D159" s="122" t="s">
        <v>425</v>
      </c>
      <c r="E159"/>
      <c r="F159" s="66">
        <v>67451.490000000005</v>
      </c>
      <c r="G159" s="66">
        <v>67451.490000000005</v>
      </c>
      <c r="H159"/>
      <c r="I159"/>
      <c r="J159"/>
      <c r="K159"/>
      <c r="L159"/>
      <c r="M159" s="67">
        <v>0</v>
      </c>
    </row>
    <row r="160" spans="1:13" x14ac:dyDescent="0.3">
      <c r="B160" s="59">
        <v>2631</v>
      </c>
      <c r="C160" s="1" t="s">
        <v>427</v>
      </c>
      <c r="D160" s="122" t="s">
        <v>348</v>
      </c>
      <c r="E160"/>
      <c r="F160" s="66">
        <v>70476.83</v>
      </c>
      <c r="G160" s="66">
        <v>51901.279999999999</v>
      </c>
      <c r="H160"/>
      <c r="I160"/>
      <c r="J160"/>
      <c r="K160"/>
      <c r="L160">
        <v>18575.550000000003</v>
      </c>
      <c r="M160" s="67">
        <v>18575.550000000003</v>
      </c>
    </row>
    <row r="161" spans="1:13" x14ac:dyDescent="0.3">
      <c r="B161" s="59">
        <v>2630</v>
      </c>
      <c r="C161" s="1" t="s">
        <v>426</v>
      </c>
      <c r="D161" s="122" t="s">
        <v>338</v>
      </c>
      <c r="E161"/>
      <c r="F161" s="66">
        <v>-20639.5</v>
      </c>
      <c r="G161" s="66">
        <v>0</v>
      </c>
      <c r="H161"/>
      <c r="I161"/>
      <c r="J161"/>
      <c r="K161"/>
      <c r="L161">
        <v>-20639.5</v>
      </c>
      <c r="M161" s="67">
        <v>-20639.5</v>
      </c>
    </row>
    <row r="162" spans="1:13" x14ac:dyDescent="0.3">
      <c r="B162" s="59">
        <v>2632</v>
      </c>
      <c r="C162" s="1" t="s">
        <v>428</v>
      </c>
      <c r="D162" s="122" t="s">
        <v>429</v>
      </c>
      <c r="E162"/>
      <c r="F162" s="66">
        <v>113082.71</v>
      </c>
      <c r="G162" s="66">
        <v>113082.71</v>
      </c>
      <c r="H162"/>
      <c r="I162"/>
      <c r="J162"/>
      <c r="K162"/>
      <c r="L162"/>
      <c r="M162" s="67">
        <v>0</v>
      </c>
    </row>
    <row r="163" spans="1:13" x14ac:dyDescent="0.3">
      <c r="B163" s="59">
        <v>2667</v>
      </c>
      <c r="C163" s="1" t="s">
        <v>430</v>
      </c>
      <c r="D163" s="122" t="s">
        <v>431</v>
      </c>
      <c r="E163"/>
      <c r="F163" s="66">
        <v>213933.9</v>
      </c>
      <c r="G163" s="66">
        <v>213933.9</v>
      </c>
      <c r="H163"/>
      <c r="I163"/>
      <c r="J163"/>
      <c r="K163"/>
      <c r="L163"/>
      <c r="M163" s="67">
        <v>0</v>
      </c>
    </row>
    <row r="164" spans="1:13" x14ac:dyDescent="0.3">
      <c r="B164" s="59">
        <v>2680</v>
      </c>
      <c r="C164" s="1" t="s">
        <v>432</v>
      </c>
      <c r="D164" s="122" t="s">
        <v>433</v>
      </c>
      <c r="E164"/>
      <c r="F164" s="66">
        <v>186386.09</v>
      </c>
      <c r="G164" s="66">
        <v>186386.09</v>
      </c>
      <c r="H164"/>
      <c r="I164"/>
      <c r="J164"/>
      <c r="K164"/>
      <c r="L164"/>
      <c r="M164" s="67">
        <v>0</v>
      </c>
    </row>
    <row r="165" spans="1:13" x14ac:dyDescent="0.3">
      <c r="B165" s="59">
        <v>2704</v>
      </c>
      <c r="C165" s="1" t="s">
        <v>434</v>
      </c>
      <c r="D165" s="122" t="s">
        <v>435</v>
      </c>
      <c r="E165"/>
      <c r="F165" s="66">
        <v>201144.8</v>
      </c>
      <c r="G165" s="66">
        <v>201144.8</v>
      </c>
      <c r="H165"/>
      <c r="I165"/>
      <c r="J165"/>
      <c r="K165"/>
      <c r="L165"/>
      <c r="M165" s="67">
        <v>0</v>
      </c>
    </row>
    <row r="166" spans="1:13" x14ac:dyDescent="0.3">
      <c r="B166" s="59">
        <v>2716</v>
      </c>
      <c r="C166" s="1" t="s">
        <v>414</v>
      </c>
      <c r="D166" s="122" t="s">
        <v>436</v>
      </c>
      <c r="E166"/>
      <c r="F166" s="66">
        <v>156741.17000000001</v>
      </c>
      <c r="G166" s="66">
        <v>156741.17000000001</v>
      </c>
      <c r="H166"/>
      <c r="I166"/>
      <c r="J166"/>
      <c r="K166"/>
      <c r="L166"/>
      <c r="M166" s="67">
        <v>0</v>
      </c>
    </row>
    <row r="167" spans="1:13" x14ac:dyDescent="0.3">
      <c r="B167" s="59">
        <v>2769</v>
      </c>
      <c r="C167" s="1" t="s">
        <v>416</v>
      </c>
      <c r="D167" s="122" t="s">
        <v>548</v>
      </c>
      <c r="E167"/>
      <c r="F167" s="66">
        <v>130306.5</v>
      </c>
      <c r="G167" s="66">
        <v>130306.5</v>
      </c>
      <c r="H167"/>
      <c r="I167"/>
      <c r="J167"/>
      <c r="K167"/>
      <c r="L167"/>
      <c r="M167" s="67">
        <v>0</v>
      </c>
    </row>
    <row r="168" spans="1:13" x14ac:dyDescent="0.3">
      <c r="B168" s="59">
        <v>2770</v>
      </c>
      <c r="C168" s="1" t="s">
        <v>418</v>
      </c>
      <c r="D168" s="122" t="s">
        <v>549</v>
      </c>
      <c r="E168"/>
      <c r="F168" s="66">
        <v>908341</v>
      </c>
      <c r="G168" s="66">
        <v>90834.1</v>
      </c>
      <c r="H168"/>
      <c r="I168">
        <v>817506.9</v>
      </c>
      <c r="J168"/>
      <c r="K168"/>
      <c r="L168"/>
      <c r="M168" s="67">
        <v>817506.9</v>
      </c>
    </row>
    <row r="169" spans="1:13" x14ac:dyDescent="0.3">
      <c r="B169" s="59">
        <v>2778</v>
      </c>
      <c r="C169" s="1" t="s">
        <v>420</v>
      </c>
      <c r="D169" s="122" t="s">
        <v>550</v>
      </c>
      <c r="E169"/>
      <c r="F169" s="66">
        <v>534822.26</v>
      </c>
      <c r="G169" s="66">
        <v>53482.22</v>
      </c>
      <c r="H169">
        <v>481340.04000000004</v>
      </c>
      <c r="I169"/>
      <c r="J169"/>
      <c r="K169"/>
      <c r="L169"/>
      <c r="M169" s="67">
        <v>481340.04000000004</v>
      </c>
    </row>
    <row r="170" spans="1:13" x14ac:dyDescent="0.3">
      <c r="E170"/>
      <c r="F170"/>
      <c r="G170"/>
      <c r="H170"/>
      <c r="I170"/>
      <c r="J170"/>
      <c r="K170"/>
      <c r="L170"/>
    </row>
    <row r="171" spans="1:13" x14ac:dyDescent="0.3">
      <c r="E171" s="34" t="s">
        <v>91</v>
      </c>
      <c r="F171" s="60">
        <v>2904071.32</v>
      </c>
      <c r="G171" s="60">
        <v>1607288.33</v>
      </c>
      <c r="H171" s="60">
        <v>481340.04</v>
      </c>
      <c r="I171" s="60">
        <v>817506.9</v>
      </c>
      <c r="J171" s="60">
        <v>0</v>
      </c>
      <c r="K171" s="60">
        <v>0</v>
      </c>
      <c r="L171" s="60">
        <v>-2063.9499999999998</v>
      </c>
      <c r="M171" s="60">
        <v>1296782.99</v>
      </c>
    </row>
    <row r="172" spans="1:13" x14ac:dyDescent="0.3">
      <c r="E172"/>
      <c r="F172"/>
      <c r="G172"/>
      <c r="H172"/>
      <c r="I172"/>
      <c r="J172"/>
      <c r="K172"/>
      <c r="L172"/>
    </row>
    <row r="173" spans="1:13" x14ac:dyDescent="0.3">
      <c r="A173" s="2" t="s">
        <v>437</v>
      </c>
      <c r="E173"/>
      <c r="F173"/>
      <c r="G173"/>
      <c r="H173"/>
      <c r="I173"/>
      <c r="J173"/>
      <c r="K173"/>
      <c r="L173"/>
    </row>
    <row r="174" spans="1:13" x14ac:dyDescent="0.3">
      <c r="E174"/>
      <c r="F174"/>
      <c r="G174"/>
      <c r="H174"/>
      <c r="I174"/>
      <c r="J174"/>
      <c r="K174"/>
      <c r="L174"/>
    </row>
    <row r="175" spans="1:13" x14ac:dyDescent="0.3">
      <c r="B175" s="59">
        <v>2450</v>
      </c>
      <c r="C175" s="1" t="s">
        <v>438</v>
      </c>
      <c r="D175" s="122" t="s">
        <v>439</v>
      </c>
      <c r="E175"/>
      <c r="F175" s="66">
        <v>660</v>
      </c>
      <c r="G175" s="66">
        <v>660</v>
      </c>
      <c r="H175"/>
      <c r="I175"/>
      <c r="J175"/>
      <c r="K175"/>
      <c r="L175"/>
      <c r="M175" s="67">
        <v>0</v>
      </c>
    </row>
    <row r="176" spans="1:13" x14ac:dyDescent="0.3">
      <c r="B176" s="59">
        <v>2451</v>
      </c>
      <c r="C176" s="1" t="s">
        <v>440</v>
      </c>
      <c r="D176" s="122" t="s">
        <v>439</v>
      </c>
      <c r="E176"/>
      <c r="F176" s="66">
        <v>140.4</v>
      </c>
      <c r="G176" s="66">
        <v>140.4</v>
      </c>
      <c r="H176"/>
      <c r="I176"/>
      <c r="J176"/>
      <c r="K176"/>
      <c r="L176"/>
      <c r="M176" s="67">
        <v>0</v>
      </c>
    </row>
    <row r="177" spans="1:13" x14ac:dyDescent="0.3">
      <c r="B177" s="59">
        <v>2452</v>
      </c>
      <c r="C177" s="1" t="s">
        <v>441</v>
      </c>
      <c r="D177" s="122" t="s">
        <v>439</v>
      </c>
      <c r="E177"/>
      <c r="F177" s="66">
        <v>1221.8499999999999</v>
      </c>
      <c r="G177" s="66">
        <v>1221.8499999999999</v>
      </c>
      <c r="H177"/>
      <c r="I177"/>
      <c r="J177"/>
      <c r="K177"/>
      <c r="L177"/>
      <c r="M177" s="67">
        <v>0</v>
      </c>
    </row>
    <row r="178" spans="1:13" x14ac:dyDescent="0.3">
      <c r="B178" s="59">
        <v>2453</v>
      </c>
      <c r="C178" s="1" t="s">
        <v>442</v>
      </c>
      <c r="D178" s="122" t="s">
        <v>439</v>
      </c>
      <c r="E178"/>
      <c r="F178" s="66">
        <v>879.51</v>
      </c>
      <c r="G178" s="66">
        <v>879.51</v>
      </c>
      <c r="H178"/>
      <c r="I178"/>
      <c r="J178"/>
      <c r="K178"/>
      <c r="L178"/>
      <c r="M178" s="67">
        <v>0</v>
      </c>
    </row>
    <row r="179" spans="1:13" x14ac:dyDescent="0.3">
      <c r="B179" s="59">
        <v>2496</v>
      </c>
      <c r="C179" s="1" t="s">
        <v>443</v>
      </c>
      <c r="D179" s="122" t="s">
        <v>444</v>
      </c>
      <c r="E179"/>
      <c r="F179" s="66">
        <v>837.45</v>
      </c>
      <c r="G179" s="66">
        <v>837.45</v>
      </c>
      <c r="H179"/>
      <c r="I179"/>
      <c r="J179"/>
      <c r="K179"/>
      <c r="L179"/>
      <c r="M179" s="67">
        <v>0</v>
      </c>
    </row>
    <row r="180" spans="1:13" x14ac:dyDescent="0.3">
      <c r="B180" s="59">
        <v>2497</v>
      </c>
      <c r="C180" s="1" t="s">
        <v>445</v>
      </c>
      <c r="D180" s="122" t="s">
        <v>358</v>
      </c>
      <c r="E180"/>
      <c r="F180" s="66">
        <v>1362.42</v>
      </c>
      <c r="G180" s="66">
        <v>1362.41</v>
      </c>
      <c r="H180"/>
      <c r="I180"/>
      <c r="J180"/>
      <c r="K180"/>
      <c r="L180">
        <v>9.9999999999909051E-3</v>
      </c>
      <c r="M180" s="67">
        <v>9.9999999999909051E-3</v>
      </c>
    </row>
    <row r="181" spans="1:13" x14ac:dyDescent="0.3">
      <c r="B181" s="59">
        <v>2509</v>
      </c>
      <c r="C181" s="1" t="s">
        <v>446</v>
      </c>
      <c r="D181" s="122" t="s">
        <v>360</v>
      </c>
      <c r="E181"/>
      <c r="F181" s="66">
        <v>24795.88</v>
      </c>
      <c r="G181" s="66">
        <v>24795.88</v>
      </c>
      <c r="H181"/>
      <c r="I181"/>
      <c r="J181"/>
      <c r="K181"/>
      <c r="L181"/>
      <c r="M181" s="67">
        <v>0</v>
      </c>
    </row>
    <row r="182" spans="1:13" x14ac:dyDescent="0.3">
      <c r="B182" s="59">
        <v>2564</v>
      </c>
      <c r="C182" s="1" t="s">
        <v>447</v>
      </c>
      <c r="D182" s="122" t="s">
        <v>364</v>
      </c>
      <c r="E182"/>
      <c r="F182" s="66">
        <v>7357.47</v>
      </c>
      <c r="G182" s="66">
        <v>7357.47</v>
      </c>
      <c r="H182"/>
      <c r="I182"/>
      <c r="J182"/>
      <c r="K182"/>
      <c r="L182"/>
      <c r="M182" s="67">
        <v>0</v>
      </c>
    </row>
    <row r="183" spans="1:13" x14ac:dyDescent="0.3">
      <c r="B183" s="59">
        <v>2650</v>
      </c>
      <c r="C183" s="1" t="s">
        <v>438</v>
      </c>
      <c r="D183" s="122" t="s">
        <v>366</v>
      </c>
      <c r="E183"/>
      <c r="F183" s="66">
        <v>8959.4500000000007</v>
      </c>
      <c r="G183" s="66">
        <v>8959.44</v>
      </c>
      <c r="H183"/>
      <c r="I183"/>
      <c r="J183"/>
      <c r="K183"/>
      <c r="L183">
        <v>1.0000000000218279E-2</v>
      </c>
      <c r="M183" s="67">
        <v>1.0000000000218279E-2</v>
      </c>
    </row>
    <row r="184" spans="1:13" x14ac:dyDescent="0.3">
      <c r="B184" s="59">
        <v>2681</v>
      </c>
      <c r="C184" s="1" t="s">
        <v>440</v>
      </c>
      <c r="D184" s="122" t="s">
        <v>448</v>
      </c>
      <c r="E184"/>
      <c r="F184" s="66">
        <v>6591.49</v>
      </c>
      <c r="G184" s="66">
        <v>6591.49</v>
      </c>
      <c r="H184"/>
      <c r="I184"/>
      <c r="J184"/>
      <c r="K184"/>
      <c r="L184"/>
      <c r="M184" s="67">
        <v>0</v>
      </c>
    </row>
    <row r="185" spans="1:13" x14ac:dyDescent="0.3">
      <c r="B185" s="59">
        <v>2711</v>
      </c>
      <c r="C185" s="1" t="s">
        <v>441</v>
      </c>
      <c r="D185" s="122" t="s">
        <v>449</v>
      </c>
      <c r="E185"/>
      <c r="F185" s="66">
        <v>1932.13</v>
      </c>
      <c r="G185" s="66">
        <v>1932.13</v>
      </c>
      <c r="H185"/>
      <c r="I185"/>
      <c r="J185"/>
      <c r="K185"/>
      <c r="L185"/>
      <c r="M185" s="67">
        <v>0</v>
      </c>
    </row>
    <row r="186" spans="1:13" x14ac:dyDescent="0.3">
      <c r="B186" s="59">
        <v>2717</v>
      </c>
      <c r="C186" s="1" t="s">
        <v>442</v>
      </c>
      <c r="D186" s="122" t="s">
        <v>450</v>
      </c>
      <c r="E186"/>
      <c r="F186" s="66">
        <v>80</v>
      </c>
      <c r="G186" s="66">
        <v>80</v>
      </c>
      <c r="H186"/>
      <c r="I186"/>
      <c r="J186"/>
      <c r="K186"/>
      <c r="L186"/>
      <c r="M186" s="67">
        <v>0</v>
      </c>
    </row>
    <row r="187" spans="1:13" x14ac:dyDescent="0.3">
      <c r="E187"/>
      <c r="F187"/>
      <c r="G187"/>
      <c r="H187"/>
      <c r="I187"/>
      <c r="J187"/>
      <c r="K187"/>
      <c r="L187"/>
    </row>
    <row r="188" spans="1:13" x14ac:dyDescent="0.3">
      <c r="E188" s="34" t="s">
        <v>91</v>
      </c>
      <c r="F188" s="60">
        <v>54818.05</v>
      </c>
      <c r="G188" s="60">
        <v>54818.03</v>
      </c>
      <c r="H188" s="60">
        <v>0</v>
      </c>
      <c r="I188" s="60">
        <v>0</v>
      </c>
      <c r="J188" s="60">
        <v>0</v>
      </c>
      <c r="K188" s="60">
        <v>0</v>
      </c>
      <c r="L188" s="60">
        <v>0.02</v>
      </c>
      <c r="M188" s="60">
        <v>0.02</v>
      </c>
    </row>
    <row r="189" spans="1:13" x14ac:dyDescent="0.3">
      <c r="E189"/>
      <c r="F189"/>
      <c r="G189"/>
      <c r="H189"/>
      <c r="I189"/>
      <c r="J189"/>
      <c r="K189"/>
      <c r="L189"/>
    </row>
    <row r="190" spans="1:13" x14ac:dyDescent="0.3">
      <c r="A190" s="2" t="s">
        <v>551</v>
      </c>
      <c r="E190"/>
      <c r="F190"/>
      <c r="G190"/>
      <c r="H190"/>
      <c r="I190"/>
      <c r="J190"/>
      <c r="K190"/>
      <c r="L190"/>
    </row>
    <row r="191" spans="1:13" x14ac:dyDescent="0.3">
      <c r="E191"/>
      <c r="F191"/>
      <c r="G191"/>
      <c r="H191"/>
      <c r="I191"/>
      <c r="J191"/>
      <c r="K191"/>
      <c r="L191"/>
    </row>
    <row r="192" spans="1:13" x14ac:dyDescent="0.3">
      <c r="B192" s="59">
        <v>2799</v>
      </c>
      <c r="C192" s="1" t="s">
        <v>552</v>
      </c>
      <c r="D192" s="122" t="s">
        <v>547</v>
      </c>
      <c r="E192"/>
      <c r="F192" s="66">
        <v>261000</v>
      </c>
      <c r="G192" s="66">
        <v>13050</v>
      </c>
      <c r="H192">
        <v>247950</v>
      </c>
      <c r="I192"/>
      <c r="J192"/>
      <c r="K192"/>
      <c r="L192"/>
      <c r="M192" s="67">
        <v>247950</v>
      </c>
    </row>
    <row r="193" spans="1:13" x14ac:dyDescent="0.3">
      <c r="E193"/>
      <c r="F193"/>
      <c r="G193"/>
      <c r="H193"/>
      <c r="I193"/>
      <c r="J193"/>
      <c r="K193"/>
      <c r="L193"/>
    </row>
    <row r="194" spans="1:13" x14ac:dyDescent="0.3">
      <c r="E194" s="34" t="s">
        <v>91</v>
      </c>
      <c r="F194" s="60">
        <v>261000</v>
      </c>
      <c r="G194" s="60">
        <v>13050</v>
      </c>
      <c r="H194" s="60">
        <v>247950</v>
      </c>
      <c r="I194" s="60">
        <v>0</v>
      </c>
      <c r="J194" s="60">
        <v>0</v>
      </c>
      <c r="K194" s="60">
        <v>0</v>
      </c>
      <c r="L194" s="60">
        <v>0</v>
      </c>
      <c r="M194" s="60">
        <v>247950</v>
      </c>
    </row>
    <row r="195" spans="1:13" x14ac:dyDescent="0.3">
      <c r="E195"/>
      <c r="F195"/>
      <c r="G195"/>
      <c r="H195"/>
      <c r="I195"/>
      <c r="J195"/>
      <c r="K195"/>
      <c r="L195"/>
    </row>
    <row r="196" spans="1:13" x14ac:dyDescent="0.3">
      <c r="A196" s="2" t="s">
        <v>451</v>
      </c>
      <c r="E196"/>
      <c r="F196"/>
      <c r="G196"/>
      <c r="H196"/>
      <c r="I196"/>
      <c r="J196"/>
      <c r="K196"/>
      <c r="L196"/>
    </row>
    <row r="197" spans="1:13" x14ac:dyDescent="0.3">
      <c r="E197"/>
      <c r="F197"/>
      <c r="G197"/>
      <c r="H197"/>
      <c r="I197"/>
      <c r="J197"/>
      <c r="K197"/>
      <c r="L197"/>
    </row>
    <row r="198" spans="1:13" x14ac:dyDescent="0.3">
      <c r="B198" s="59">
        <v>2565</v>
      </c>
      <c r="C198" s="1" t="s">
        <v>452</v>
      </c>
      <c r="D198" s="122" t="s">
        <v>453</v>
      </c>
      <c r="E198"/>
      <c r="F198" s="66">
        <v>9595</v>
      </c>
      <c r="G198" s="66">
        <v>9595</v>
      </c>
      <c r="H198"/>
      <c r="I198"/>
      <c r="J198"/>
      <c r="K198"/>
      <c r="L198"/>
      <c r="M198" s="67">
        <v>0</v>
      </c>
    </row>
    <row r="199" spans="1:13" x14ac:dyDescent="0.3">
      <c r="B199" s="59">
        <v>2588</v>
      </c>
      <c r="C199" s="1" t="s">
        <v>454</v>
      </c>
      <c r="D199" s="122" t="s">
        <v>455</v>
      </c>
      <c r="E199"/>
      <c r="F199" s="66">
        <v>39545</v>
      </c>
      <c r="G199" s="66">
        <v>39545</v>
      </c>
      <c r="H199"/>
      <c r="I199"/>
      <c r="J199"/>
      <c r="K199"/>
      <c r="L199"/>
      <c r="M199" s="67">
        <v>0</v>
      </c>
    </row>
    <row r="200" spans="1:13" x14ac:dyDescent="0.3">
      <c r="B200" s="59">
        <v>2614</v>
      </c>
      <c r="C200" s="1" t="s">
        <v>456</v>
      </c>
      <c r="D200" s="122" t="s">
        <v>457</v>
      </c>
      <c r="E200"/>
      <c r="F200" s="66">
        <v>14541.3</v>
      </c>
      <c r="G200" s="66">
        <v>14541.3</v>
      </c>
      <c r="H200"/>
      <c r="I200"/>
      <c r="J200"/>
      <c r="K200"/>
      <c r="L200"/>
      <c r="M200" s="67">
        <v>0</v>
      </c>
    </row>
    <row r="201" spans="1:13" x14ac:dyDescent="0.3">
      <c r="B201" s="59">
        <v>2687</v>
      </c>
      <c r="C201" s="1" t="s">
        <v>458</v>
      </c>
      <c r="D201" s="122" t="s">
        <v>459</v>
      </c>
      <c r="E201"/>
      <c r="F201" s="66">
        <v>27090</v>
      </c>
      <c r="G201" s="66">
        <v>27090</v>
      </c>
      <c r="H201"/>
      <c r="I201"/>
      <c r="J201"/>
      <c r="K201"/>
      <c r="L201"/>
      <c r="M201" s="67">
        <v>0</v>
      </c>
    </row>
    <row r="202" spans="1:13" x14ac:dyDescent="0.3">
      <c r="B202" s="59">
        <v>2724</v>
      </c>
      <c r="C202" s="1" t="s">
        <v>460</v>
      </c>
      <c r="D202" s="122" t="s">
        <v>435</v>
      </c>
      <c r="E202"/>
      <c r="F202" s="66">
        <v>15258.6</v>
      </c>
      <c r="G202" s="66">
        <v>15258.6</v>
      </c>
      <c r="H202"/>
      <c r="I202"/>
      <c r="J202"/>
      <c r="K202"/>
      <c r="L202"/>
      <c r="M202" s="67">
        <v>0</v>
      </c>
    </row>
    <row r="203" spans="1:13" x14ac:dyDescent="0.3">
      <c r="E203"/>
      <c r="F203"/>
      <c r="G203"/>
      <c r="H203"/>
      <c r="I203"/>
      <c r="J203"/>
      <c r="K203"/>
      <c r="L203"/>
    </row>
    <row r="204" spans="1:13" x14ac:dyDescent="0.3">
      <c r="E204" s="34" t="s">
        <v>91</v>
      </c>
      <c r="F204" s="60">
        <v>106029.9</v>
      </c>
      <c r="G204" s="60">
        <v>106029.9</v>
      </c>
      <c r="H204" s="60">
        <v>0</v>
      </c>
      <c r="I204" s="60">
        <v>0</v>
      </c>
      <c r="J204" s="60">
        <v>0</v>
      </c>
      <c r="K204" s="60">
        <v>0</v>
      </c>
      <c r="L204" s="60">
        <v>0</v>
      </c>
      <c r="M204" s="60">
        <v>0</v>
      </c>
    </row>
    <row r="205" spans="1:13" x14ac:dyDescent="0.3">
      <c r="E205"/>
      <c r="F205"/>
      <c r="G205"/>
      <c r="H205"/>
      <c r="I205"/>
      <c r="J205"/>
      <c r="K205"/>
      <c r="L205"/>
    </row>
    <row r="206" spans="1:13" x14ac:dyDescent="0.3">
      <c r="A206" s="2" t="s">
        <v>461</v>
      </c>
      <c r="E206"/>
      <c r="F206"/>
      <c r="G206"/>
      <c r="H206"/>
      <c r="I206"/>
      <c r="J206"/>
      <c r="K206"/>
      <c r="L206"/>
    </row>
    <row r="207" spans="1:13" x14ac:dyDescent="0.3">
      <c r="E207"/>
      <c r="F207"/>
      <c r="G207"/>
      <c r="H207"/>
      <c r="I207"/>
      <c r="J207"/>
      <c r="K207"/>
      <c r="L207"/>
    </row>
    <row r="208" spans="1:13" x14ac:dyDescent="0.3">
      <c r="B208" s="59">
        <v>2761</v>
      </c>
      <c r="C208" s="1" t="s">
        <v>477</v>
      </c>
      <c r="D208" s="122" t="s">
        <v>553</v>
      </c>
      <c r="E208"/>
      <c r="F208" s="66">
        <v>211267.63</v>
      </c>
      <c r="G208" s="66">
        <v>211267.63</v>
      </c>
      <c r="H208"/>
      <c r="I208"/>
      <c r="J208"/>
      <c r="K208"/>
      <c r="L208"/>
      <c r="M208" s="67">
        <v>0</v>
      </c>
    </row>
    <row r="209" spans="2:13" x14ac:dyDescent="0.3">
      <c r="B209" s="59">
        <v>2590</v>
      </c>
      <c r="C209" s="1" t="s">
        <v>462</v>
      </c>
      <c r="D209" s="122" t="s">
        <v>463</v>
      </c>
      <c r="E209"/>
      <c r="F209" s="66">
        <v>10929.44</v>
      </c>
      <c r="G209" s="66">
        <v>10929.44</v>
      </c>
      <c r="H209"/>
      <c r="I209"/>
      <c r="J209"/>
      <c r="K209"/>
      <c r="L209"/>
      <c r="M209" s="67">
        <v>0</v>
      </c>
    </row>
    <row r="210" spans="2:13" x14ac:dyDescent="0.3">
      <c r="B210" s="59">
        <v>2616</v>
      </c>
      <c r="C210" s="1" t="s">
        <v>464</v>
      </c>
      <c r="D210" s="122" t="s">
        <v>465</v>
      </c>
      <c r="E210"/>
      <c r="F210" s="66">
        <v>2000</v>
      </c>
      <c r="G210" s="66">
        <v>2000</v>
      </c>
      <c r="H210"/>
      <c r="I210"/>
      <c r="J210"/>
      <c r="K210"/>
      <c r="L210"/>
      <c r="M210" s="67">
        <v>0</v>
      </c>
    </row>
    <row r="211" spans="2:13" x14ac:dyDescent="0.3">
      <c r="B211" s="59">
        <v>2651</v>
      </c>
      <c r="C211" s="1" t="s">
        <v>466</v>
      </c>
      <c r="D211" s="122" t="s">
        <v>467</v>
      </c>
      <c r="E211"/>
      <c r="F211" s="66">
        <v>12225</v>
      </c>
      <c r="G211" s="66">
        <v>12225</v>
      </c>
      <c r="H211"/>
      <c r="I211"/>
      <c r="J211"/>
      <c r="K211"/>
      <c r="L211"/>
      <c r="M211" s="67">
        <v>0</v>
      </c>
    </row>
    <row r="212" spans="2:13" x14ac:dyDescent="0.3">
      <c r="B212" s="59">
        <v>2658</v>
      </c>
      <c r="C212" s="1" t="s">
        <v>468</v>
      </c>
      <c r="D212" s="122" t="s">
        <v>469</v>
      </c>
      <c r="E212"/>
      <c r="F212" s="66">
        <v>750</v>
      </c>
      <c r="G212" s="66">
        <v>750</v>
      </c>
      <c r="H212"/>
      <c r="I212"/>
      <c r="J212"/>
      <c r="K212"/>
      <c r="L212"/>
      <c r="M212" s="67">
        <v>0</v>
      </c>
    </row>
    <row r="213" spans="2:13" x14ac:dyDescent="0.3">
      <c r="B213" s="59">
        <v>2660</v>
      </c>
      <c r="C213" s="1" t="s">
        <v>464</v>
      </c>
      <c r="D213" s="122" t="s">
        <v>469</v>
      </c>
      <c r="E213"/>
      <c r="F213" s="66">
        <v>1750</v>
      </c>
      <c r="G213" s="66">
        <v>1750</v>
      </c>
      <c r="H213"/>
      <c r="I213"/>
      <c r="J213"/>
      <c r="K213"/>
      <c r="L213"/>
      <c r="M213" s="67">
        <v>0</v>
      </c>
    </row>
    <row r="214" spans="2:13" x14ac:dyDescent="0.3">
      <c r="B214" s="59">
        <v>2661</v>
      </c>
      <c r="C214" s="1" t="s">
        <v>462</v>
      </c>
      <c r="D214" s="122" t="s">
        <v>469</v>
      </c>
      <c r="E214"/>
      <c r="F214" s="66">
        <v>4859.7</v>
      </c>
      <c r="G214" s="66">
        <v>4859.7</v>
      </c>
      <c r="H214"/>
      <c r="I214"/>
      <c r="J214"/>
      <c r="K214"/>
      <c r="L214"/>
      <c r="M214" s="67">
        <v>0</v>
      </c>
    </row>
    <row r="215" spans="2:13" x14ac:dyDescent="0.3">
      <c r="B215" s="59">
        <v>2659</v>
      </c>
      <c r="C215" s="1" t="s">
        <v>470</v>
      </c>
      <c r="D215" s="122" t="s">
        <v>459</v>
      </c>
      <c r="E215"/>
      <c r="F215" s="66">
        <v>30725</v>
      </c>
      <c r="G215" s="66">
        <v>30725</v>
      </c>
      <c r="H215"/>
      <c r="I215"/>
      <c r="J215"/>
      <c r="K215"/>
      <c r="L215"/>
      <c r="M215" s="67">
        <v>0</v>
      </c>
    </row>
    <row r="216" spans="2:13" x14ac:dyDescent="0.3">
      <c r="B216" s="59">
        <v>2697</v>
      </c>
      <c r="C216" s="1" t="s">
        <v>473</v>
      </c>
      <c r="D216" s="122" t="s">
        <v>459</v>
      </c>
      <c r="E216"/>
      <c r="F216" s="66">
        <v>-425</v>
      </c>
      <c r="G216" s="66">
        <v>0</v>
      </c>
      <c r="H216"/>
      <c r="I216"/>
      <c r="J216"/>
      <c r="K216"/>
      <c r="L216">
        <v>-425</v>
      </c>
      <c r="M216" s="67">
        <v>-425</v>
      </c>
    </row>
    <row r="217" spans="2:13" x14ac:dyDescent="0.3">
      <c r="B217" s="59">
        <v>2682</v>
      </c>
      <c r="C217" s="1" t="s">
        <v>471</v>
      </c>
      <c r="D217" s="122" t="s">
        <v>472</v>
      </c>
      <c r="E217"/>
      <c r="F217" s="66">
        <v>78231.08</v>
      </c>
      <c r="G217" s="66">
        <v>78231.08</v>
      </c>
      <c r="H217"/>
      <c r="I217"/>
      <c r="J217"/>
      <c r="K217"/>
      <c r="L217"/>
      <c r="M217" s="67">
        <v>0</v>
      </c>
    </row>
    <row r="218" spans="2:13" x14ac:dyDescent="0.3">
      <c r="B218" s="59">
        <v>2721</v>
      </c>
      <c r="C218" s="1" t="s">
        <v>476</v>
      </c>
      <c r="D218" s="122" t="s">
        <v>475</v>
      </c>
      <c r="E218"/>
      <c r="F218" s="66">
        <v>122233</v>
      </c>
      <c r="G218" s="66">
        <v>122233</v>
      </c>
      <c r="H218"/>
      <c r="I218"/>
      <c r="J218"/>
      <c r="K218"/>
      <c r="L218"/>
      <c r="M218" s="67">
        <v>0</v>
      </c>
    </row>
    <row r="219" spans="2:13" x14ac:dyDescent="0.3">
      <c r="B219" s="59">
        <v>2698</v>
      </c>
      <c r="C219" s="1" t="s">
        <v>474</v>
      </c>
      <c r="D219" s="122" t="s">
        <v>475</v>
      </c>
      <c r="E219"/>
      <c r="F219" s="66">
        <v>102505</v>
      </c>
      <c r="G219" s="66">
        <v>102505</v>
      </c>
      <c r="H219"/>
      <c r="I219"/>
      <c r="J219"/>
      <c r="K219"/>
      <c r="L219"/>
      <c r="M219" s="67">
        <v>0</v>
      </c>
    </row>
    <row r="220" spans="2:13" x14ac:dyDescent="0.3">
      <c r="B220" s="59">
        <v>2748</v>
      </c>
      <c r="C220" s="1" t="s">
        <v>477</v>
      </c>
      <c r="D220" s="122" t="s">
        <v>376</v>
      </c>
      <c r="E220"/>
      <c r="F220" s="66">
        <v>82185.919999999998</v>
      </c>
      <c r="G220" s="66">
        <v>82185.919999999998</v>
      </c>
      <c r="H220"/>
      <c r="I220"/>
      <c r="J220"/>
      <c r="K220"/>
      <c r="L220"/>
      <c r="M220" s="67">
        <v>0</v>
      </c>
    </row>
    <row r="221" spans="2:13" x14ac:dyDescent="0.3">
      <c r="B221" s="59">
        <v>2762</v>
      </c>
      <c r="C221" s="1" t="s">
        <v>554</v>
      </c>
      <c r="D221" s="122" t="s">
        <v>555</v>
      </c>
      <c r="E221"/>
      <c r="F221" s="66">
        <v>179326.76</v>
      </c>
      <c r="G221" s="66">
        <v>179326.76</v>
      </c>
      <c r="H221"/>
      <c r="I221"/>
      <c r="J221"/>
      <c r="K221"/>
      <c r="L221"/>
      <c r="M221" s="67">
        <v>0</v>
      </c>
    </row>
    <row r="222" spans="2:13" x14ac:dyDescent="0.3">
      <c r="B222" s="59">
        <v>2780</v>
      </c>
      <c r="C222" s="1" t="s">
        <v>556</v>
      </c>
      <c r="D222" s="122" t="s">
        <v>557</v>
      </c>
      <c r="E222"/>
      <c r="F222" s="66">
        <v>1793007.35</v>
      </c>
      <c r="G222" s="66">
        <v>179300.74</v>
      </c>
      <c r="H222">
        <v>1613706.61</v>
      </c>
      <c r="I222"/>
      <c r="J222"/>
      <c r="K222"/>
      <c r="L222"/>
      <c r="M222" s="67">
        <v>1613706.61</v>
      </c>
    </row>
    <row r="223" spans="2:13" x14ac:dyDescent="0.3">
      <c r="E223"/>
      <c r="F223"/>
      <c r="G223"/>
      <c r="H223"/>
      <c r="I223"/>
      <c r="J223"/>
      <c r="K223"/>
      <c r="L223"/>
    </row>
    <row r="224" spans="2:13" x14ac:dyDescent="0.3">
      <c r="E224" s="34" t="s">
        <v>91</v>
      </c>
      <c r="F224" s="60">
        <v>2631570.88</v>
      </c>
      <c r="G224" s="60">
        <v>1018289.27</v>
      </c>
      <c r="H224" s="60">
        <v>1613706.61</v>
      </c>
      <c r="I224" s="60">
        <v>0</v>
      </c>
      <c r="J224" s="60">
        <v>0</v>
      </c>
      <c r="K224" s="60">
        <v>0</v>
      </c>
      <c r="L224" s="60">
        <v>-425</v>
      </c>
      <c r="M224" s="60">
        <v>1613281.61</v>
      </c>
    </row>
    <row r="225" spans="1:13" x14ac:dyDescent="0.3">
      <c r="E225"/>
      <c r="F225"/>
      <c r="G225"/>
      <c r="H225"/>
      <c r="I225"/>
      <c r="J225"/>
      <c r="K225"/>
      <c r="L225"/>
    </row>
    <row r="226" spans="1:13" x14ac:dyDescent="0.3">
      <c r="A226" s="2" t="s">
        <v>478</v>
      </c>
      <c r="E226"/>
      <c r="F226"/>
      <c r="G226"/>
      <c r="H226"/>
      <c r="I226"/>
      <c r="J226"/>
      <c r="K226"/>
      <c r="L226"/>
    </row>
    <row r="227" spans="1:13" x14ac:dyDescent="0.3">
      <c r="E227"/>
      <c r="F227"/>
      <c r="G227"/>
      <c r="H227"/>
      <c r="I227"/>
      <c r="J227"/>
      <c r="K227"/>
      <c r="L227"/>
    </row>
    <row r="228" spans="1:13" x14ac:dyDescent="0.3">
      <c r="B228" s="59">
        <v>2708</v>
      </c>
      <c r="C228" s="1" t="s">
        <v>479</v>
      </c>
      <c r="D228" s="122" t="s">
        <v>472</v>
      </c>
      <c r="E228"/>
      <c r="F228" s="66">
        <v>77405</v>
      </c>
      <c r="G228" s="66">
        <v>0</v>
      </c>
      <c r="H228"/>
      <c r="I228"/>
      <c r="J228"/>
      <c r="K228"/>
      <c r="L228">
        <v>77405</v>
      </c>
      <c r="M228" s="67">
        <v>77405</v>
      </c>
    </row>
    <row r="229" spans="1:13" x14ac:dyDescent="0.3">
      <c r="E229"/>
      <c r="F229"/>
      <c r="G229"/>
      <c r="H229"/>
      <c r="I229"/>
      <c r="J229"/>
      <c r="K229"/>
      <c r="L229"/>
    </row>
    <row r="230" spans="1:13" x14ac:dyDescent="0.3">
      <c r="E230" s="34" t="s">
        <v>91</v>
      </c>
      <c r="F230" s="60">
        <v>77405</v>
      </c>
      <c r="G230" s="60">
        <v>0</v>
      </c>
      <c r="H230" s="60">
        <v>0</v>
      </c>
      <c r="I230" s="60">
        <v>0</v>
      </c>
      <c r="J230" s="60">
        <v>0</v>
      </c>
      <c r="K230" s="60">
        <v>0</v>
      </c>
      <c r="L230" s="60">
        <v>77405</v>
      </c>
      <c r="M230" s="60">
        <v>77405</v>
      </c>
    </row>
    <row r="231" spans="1:13" x14ac:dyDescent="0.3">
      <c r="E231"/>
      <c r="F231"/>
      <c r="G231"/>
      <c r="H231"/>
      <c r="I231"/>
      <c r="J231"/>
      <c r="K231"/>
      <c r="L231"/>
    </row>
    <row r="232" spans="1:13" x14ac:dyDescent="0.3">
      <c r="A232" s="2" t="s">
        <v>480</v>
      </c>
      <c r="E232"/>
      <c r="F232"/>
      <c r="G232"/>
      <c r="H232"/>
      <c r="I232"/>
      <c r="J232"/>
      <c r="K232"/>
      <c r="L232"/>
    </row>
    <row r="233" spans="1:13" x14ac:dyDescent="0.3">
      <c r="E233"/>
      <c r="F233"/>
      <c r="G233"/>
      <c r="H233"/>
      <c r="I233"/>
      <c r="J233"/>
      <c r="K233"/>
      <c r="L233"/>
    </row>
    <row r="234" spans="1:13" x14ac:dyDescent="0.3">
      <c r="B234" s="59">
        <v>2688</v>
      </c>
      <c r="C234" s="1" t="s">
        <v>481</v>
      </c>
      <c r="D234" s="122" t="s">
        <v>482</v>
      </c>
      <c r="E234"/>
      <c r="F234" s="66">
        <v>7790</v>
      </c>
      <c r="G234" s="66">
        <v>7790</v>
      </c>
      <c r="H234"/>
      <c r="I234"/>
      <c r="J234"/>
      <c r="K234"/>
      <c r="L234"/>
      <c r="M234" s="67">
        <v>0</v>
      </c>
    </row>
    <row r="235" spans="1:13" x14ac:dyDescent="0.3">
      <c r="B235" s="59">
        <v>2723</v>
      </c>
      <c r="C235" s="1" t="s">
        <v>483</v>
      </c>
      <c r="D235" s="122" t="s">
        <v>435</v>
      </c>
      <c r="E235"/>
      <c r="F235" s="66">
        <v>17290</v>
      </c>
      <c r="G235" s="66">
        <v>17290</v>
      </c>
      <c r="H235"/>
      <c r="I235"/>
      <c r="J235"/>
      <c r="K235"/>
      <c r="L235"/>
      <c r="M235" s="67">
        <v>0</v>
      </c>
    </row>
    <row r="236" spans="1:13" x14ac:dyDescent="0.3">
      <c r="B236" s="59">
        <v>2791</v>
      </c>
      <c r="C236" s="1" t="s">
        <v>484</v>
      </c>
      <c r="D236" s="122" t="s">
        <v>558</v>
      </c>
      <c r="E236"/>
      <c r="F236" s="66">
        <v>29262.6</v>
      </c>
      <c r="G236" s="66">
        <v>29262.6</v>
      </c>
      <c r="H236"/>
      <c r="I236"/>
      <c r="J236"/>
      <c r="K236"/>
      <c r="L236"/>
      <c r="M236" s="67">
        <v>0</v>
      </c>
    </row>
    <row r="237" spans="1:13" x14ac:dyDescent="0.3">
      <c r="B237" s="59">
        <v>2792</v>
      </c>
      <c r="C237" s="1" t="s">
        <v>559</v>
      </c>
      <c r="D237" s="122" t="s">
        <v>555</v>
      </c>
      <c r="E237"/>
      <c r="F237" s="66">
        <v>48594</v>
      </c>
      <c r="G237" s="66">
        <v>4859.3999999999996</v>
      </c>
      <c r="H237"/>
      <c r="I237">
        <v>43734.6</v>
      </c>
      <c r="J237"/>
      <c r="K237"/>
      <c r="L237"/>
      <c r="M237" s="67">
        <v>43734.6</v>
      </c>
    </row>
    <row r="238" spans="1:13" x14ac:dyDescent="0.3">
      <c r="E238"/>
      <c r="F238"/>
      <c r="G238"/>
      <c r="H238"/>
      <c r="I238"/>
      <c r="J238"/>
      <c r="K238"/>
      <c r="L238"/>
    </row>
    <row r="239" spans="1:13" x14ac:dyDescent="0.3">
      <c r="E239" s="34" t="s">
        <v>91</v>
      </c>
      <c r="F239" s="60">
        <v>102936.6</v>
      </c>
      <c r="G239" s="60">
        <v>59202</v>
      </c>
      <c r="H239" s="60">
        <v>0</v>
      </c>
      <c r="I239" s="60">
        <v>43734.6</v>
      </c>
      <c r="J239" s="60">
        <v>0</v>
      </c>
      <c r="K239" s="60">
        <v>0</v>
      </c>
      <c r="L239" s="60">
        <v>0</v>
      </c>
      <c r="M239" s="60">
        <v>43734.6</v>
      </c>
    </row>
    <row r="240" spans="1:13" x14ac:dyDescent="0.3">
      <c r="E240"/>
      <c r="F240"/>
      <c r="G240"/>
      <c r="H240"/>
      <c r="I240"/>
      <c r="J240"/>
      <c r="K240"/>
      <c r="L240"/>
    </row>
    <row r="241" spans="1:13" x14ac:dyDescent="0.3">
      <c r="A241" s="2" t="s">
        <v>485</v>
      </c>
      <c r="E241"/>
      <c r="F241"/>
      <c r="G241"/>
      <c r="H241"/>
      <c r="I241"/>
      <c r="J241"/>
      <c r="K241"/>
      <c r="L241"/>
    </row>
    <row r="242" spans="1:13" x14ac:dyDescent="0.3">
      <c r="E242"/>
      <c r="F242"/>
      <c r="G242"/>
      <c r="H242"/>
      <c r="I242"/>
      <c r="J242"/>
      <c r="K242"/>
      <c r="L242"/>
    </row>
    <row r="243" spans="1:13" x14ac:dyDescent="0.3">
      <c r="B243" s="59">
        <v>2566</v>
      </c>
      <c r="C243" s="1" t="s">
        <v>486</v>
      </c>
      <c r="D243" s="122" t="s">
        <v>453</v>
      </c>
      <c r="E243"/>
      <c r="F243" s="66">
        <v>7834.25</v>
      </c>
      <c r="G243" s="66">
        <v>7834.25</v>
      </c>
      <c r="H243"/>
      <c r="I243"/>
      <c r="J243"/>
      <c r="K243"/>
      <c r="L243"/>
      <c r="M243" s="67">
        <v>0</v>
      </c>
    </row>
    <row r="244" spans="1:13" x14ac:dyDescent="0.3">
      <c r="B244" s="59">
        <v>2587</v>
      </c>
      <c r="C244" s="1" t="s">
        <v>487</v>
      </c>
      <c r="D244" s="122" t="s">
        <v>455</v>
      </c>
      <c r="E244"/>
      <c r="F244" s="66">
        <v>10068.5</v>
      </c>
      <c r="G244" s="66">
        <v>10068.5</v>
      </c>
      <c r="H244"/>
      <c r="I244"/>
      <c r="J244"/>
      <c r="K244"/>
      <c r="L244"/>
      <c r="M244" s="67">
        <v>0</v>
      </c>
    </row>
    <row r="245" spans="1:13" x14ac:dyDescent="0.3">
      <c r="B245" s="59">
        <v>2628</v>
      </c>
      <c r="C245" s="1" t="s">
        <v>488</v>
      </c>
      <c r="D245" s="122" t="s">
        <v>457</v>
      </c>
      <c r="E245"/>
      <c r="F245" s="66">
        <v>20972.55</v>
      </c>
      <c r="G245" s="66">
        <v>20972.55</v>
      </c>
      <c r="H245"/>
      <c r="I245"/>
      <c r="J245"/>
      <c r="K245"/>
      <c r="L245"/>
      <c r="M245" s="67">
        <v>0</v>
      </c>
    </row>
    <row r="246" spans="1:13" x14ac:dyDescent="0.3">
      <c r="B246" s="59">
        <v>2689</v>
      </c>
      <c r="C246" s="1" t="s">
        <v>489</v>
      </c>
      <c r="D246" s="122" t="s">
        <v>490</v>
      </c>
      <c r="E246"/>
      <c r="F246" s="66">
        <v>47968.5</v>
      </c>
      <c r="G246" s="66">
        <v>47968.5</v>
      </c>
      <c r="H246"/>
      <c r="I246"/>
      <c r="J246"/>
      <c r="K246"/>
      <c r="L246"/>
      <c r="M246" s="67">
        <v>0</v>
      </c>
    </row>
    <row r="247" spans="1:13" x14ac:dyDescent="0.3">
      <c r="B247" s="59">
        <v>2725</v>
      </c>
      <c r="C247" s="1" t="s">
        <v>491</v>
      </c>
      <c r="D247" s="122" t="s">
        <v>435</v>
      </c>
      <c r="E247"/>
      <c r="F247" s="66">
        <v>28400</v>
      </c>
      <c r="G247" s="66">
        <v>28400</v>
      </c>
      <c r="H247"/>
      <c r="I247"/>
      <c r="J247"/>
      <c r="K247"/>
      <c r="L247"/>
      <c r="M247" s="67">
        <v>0</v>
      </c>
    </row>
    <row r="248" spans="1:13" x14ac:dyDescent="0.3">
      <c r="B248" s="59">
        <v>2741</v>
      </c>
      <c r="C248" s="1" t="s">
        <v>492</v>
      </c>
      <c r="D248" s="122" t="s">
        <v>376</v>
      </c>
      <c r="E248"/>
      <c r="F248" s="66">
        <v>11217.9</v>
      </c>
      <c r="G248" s="66">
        <v>11217.9</v>
      </c>
      <c r="H248"/>
      <c r="I248"/>
      <c r="J248"/>
      <c r="K248"/>
      <c r="L248"/>
      <c r="M248" s="67">
        <v>0</v>
      </c>
    </row>
    <row r="249" spans="1:13" x14ac:dyDescent="0.3">
      <c r="E249"/>
      <c r="F249"/>
      <c r="G249"/>
      <c r="H249"/>
      <c r="I249"/>
      <c r="J249"/>
      <c r="K249"/>
      <c r="L249"/>
    </row>
    <row r="250" spans="1:13" x14ac:dyDescent="0.3">
      <c r="E250" s="34" t="s">
        <v>91</v>
      </c>
      <c r="F250" s="60">
        <v>126461.7</v>
      </c>
      <c r="G250" s="60">
        <v>126461.7</v>
      </c>
      <c r="H250" s="60">
        <v>0</v>
      </c>
      <c r="I250" s="60">
        <v>0</v>
      </c>
      <c r="J250" s="60">
        <v>0</v>
      </c>
      <c r="K250" s="60">
        <v>0</v>
      </c>
      <c r="L250" s="60">
        <v>0</v>
      </c>
      <c r="M250" s="60">
        <v>0</v>
      </c>
    </row>
    <row r="251" spans="1:13" x14ac:dyDescent="0.3">
      <c r="E251"/>
      <c r="F251"/>
      <c r="G251"/>
      <c r="H251"/>
      <c r="I251"/>
      <c r="J251"/>
      <c r="K251"/>
      <c r="L251"/>
    </row>
    <row r="252" spans="1:13" x14ac:dyDescent="0.3">
      <c r="A252" s="2" t="s">
        <v>493</v>
      </c>
      <c r="E252"/>
      <c r="F252"/>
      <c r="G252"/>
      <c r="H252"/>
      <c r="I252"/>
      <c r="J252"/>
      <c r="K252"/>
      <c r="L252"/>
    </row>
    <row r="253" spans="1:13" x14ac:dyDescent="0.3">
      <c r="E253"/>
      <c r="F253"/>
      <c r="G253"/>
      <c r="H253"/>
      <c r="I253"/>
      <c r="J253"/>
      <c r="K253"/>
      <c r="L253"/>
    </row>
    <row r="254" spans="1:13" x14ac:dyDescent="0.3">
      <c r="B254" s="59">
        <v>2654</v>
      </c>
      <c r="C254" s="1" t="s">
        <v>494</v>
      </c>
      <c r="D254" s="122" t="s">
        <v>495</v>
      </c>
      <c r="E254"/>
      <c r="F254" s="66">
        <v>4150</v>
      </c>
      <c r="G254" s="66">
        <v>4150</v>
      </c>
      <c r="H254"/>
      <c r="I254"/>
      <c r="J254"/>
      <c r="K254"/>
      <c r="L254"/>
      <c r="M254" s="67">
        <v>0</v>
      </c>
    </row>
    <row r="255" spans="1:13" x14ac:dyDescent="0.3">
      <c r="B255" s="59">
        <v>2683</v>
      </c>
      <c r="C255" s="1" t="s">
        <v>496</v>
      </c>
      <c r="D255" s="122" t="s">
        <v>429</v>
      </c>
      <c r="E255"/>
      <c r="F255" s="66">
        <v>6700</v>
      </c>
      <c r="G255" s="66">
        <v>6700</v>
      </c>
      <c r="H255"/>
      <c r="I255"/>
      <c r="J255"/>
      <c r="K255"/>
      <c r="L255"/>
      <c r="M255" s="67">
        <v>0</v>
      </c>
    </row>
    <row r="256" spans="1:13" x14ac:dyDescent="0.3">
      <c r="B256" s="59">
        <v>2684</v>
      </c>
      <c r="C256" s="1" t="s">
        <v>497</v>
      </c>
      <c r="D256" s="122" t="s">
        <v>498</v>
      </c>
      <c r="E256"/>
      <c r="F256" s="66">
        <v>6100</v>
      </c>
      <c r="G256" s="66">
        <v>6100</v>
      </c>
      <c r="H256"/>
      <c r="I256"/>
      <c r="J256"/>
      <c r="K256"/>
      <c r="L256"/>
      <c r="M256" s="67">
        <v>0</v>
      </c>
    </row>
    <row r="257" spans="1:13" x14ac:dyDescent="0.3">
      <c r="B257" s="59">
        <v>2705</v>
      </c>
      <c r="C257" s="1" t="s">
        <v>499</v>
      </c>
      <c r="D257" s="122" t="s">
        <v>500</v>
      </c>
      <c r="E257"/>
      <c r="F257" s="66">
        <v>4485</v>
      </c>
      <c r="G257" s="66">
        <v>4485</v>
      </c>
      <c r="H257"/>
      <c r="I257"/>
      <c r="J257"/>
      <c r="K257"/>
      <c r="L257"/>
      <c r="M257" s="67">
        <v>0</v>
      </c>
    </row>
    <row r="258" spans="1:13" x14ac:dyDescent="0.3">
      <c r="B258" s="59">
        <v>2718</v>
      </c>
      <c r="C258" s="1" t="s">
        <v>501</v>
      </c>
      <c r="D258" s="122" t="s">
        <v>502</v>
      </c>
      <c r="E258"/>
      <c r="F258" s="66">
        <v>807.5</v>
      </c>
      <c r="G258" s="66">
        <v>807.5</v>
      </c>
      <c r="H258"/>
      <c r="I258"/>
      <c r="J258"/>
      <c r="K258"/>
      <c r="L258"/>
      <c r="M258" s="67">
        <v>0</v>
      </c>
    </row>
    <row r="259" spans="1:13" x14ac:dyDescent="0.3">
      <c r="B259" s="59">
        <v>2765</v>
      </c>
      <c r="C259" s="1" t="s">
        <v>503</v>
      </c>
      <c r="D259" s="122" t="s">
        <v>560</v>
      </c>
      <c r="E259"/>
      <c r="F259" s="66">
        <v>5575</v>
      </c>
      <c r="G259" s="66">
        <v>557.5</v>
      </c>
      <c r="H259"/>
      <c r="I259"/>
      <c r="J259"/>
      <c r="K259">
        <v>5017.5</v>
      </c>
      <c r="L259"/>
      <c r="M259" s="67">
        <v>5017.5</v>
      </c>
    </row>
    <row r="260" spans="1:13" x14ac:dyDescent="0.3">
      <c r="B260" s="59">
        <v>2766</v>
      </c>
      <c r="C260" s="1" t="s">
        <v>561</v>
      </c>
      <c r="D260" s="122" t="s">
        <v>562</v>
      </c>
      <c r="E260"/>
      <c r="F260" s="66">
        <v>2000</v>
      </c>
      <c r="G260" s="66">
        <v>200</v>
      </c>
      <c r="H260"/>
      <c r="I260"/>
      <c r="J260">
        <v>1800</v>
      </c>
      <c r="K260"/>
      <c r="L260"/>
      <c r="M260" s="67">
        <v>1800</v>
      </c>
    </row>
    <row r="261" spans="1:13" x14ac:dyDescent="0.3">
      <c r="E261"/>
      <c r="F261"/>
      <c r="G261"/>
      <c r="H261"/>
      <c r="I261"/>
      <c r="J261"/>
      <c r="K261"/>
      <c r="L261"/>
    </row>
    <row r="262" spans="1:13" x14ac:dyDescent="0.3">
      <c r="E262" s="34" t="s">
        <v>91</v>
      </c>
      <c r="F262" s="60">
        <v>29817.5</v>
      </c>
      <c r="G262" s="60">
        <v>23000</v>
      </c>
      <c r="H262" s="60">
        <v>0</v>
      </c>
      <c r="I262" s="60">
        <v>0</v>
      </c>
      <c r="J262" s="60">
        <v>1800</v>
      </c>
      <c r="K262" s="60">
        <v>5017.5</v>
      </c>
      <c r="L262" s="60">
        <v>0</v>
      </c>
      <c r="M262" s="60">
        <v>6817.5</v>
      </c>
    </row>
    <row r="263" spans="1:13" x14ac:dyDescent="0.3">
      <c r="E263"/>
      <c r="F263"/>
      <c r="G263"/>
      <c r="H263"/>
      <c r="I263"/>
      <c r="J263"/>
      <c r="K263"/>
      <c r="L263"/>
    </row>
    <row r="264" spans="1:13" x14ac:dyDescent="0.3">
      <c r="A264" s="2" t="s">
        <v>563</v>
      </c>
      <c r="E264"/>
      <c r="F264"/>
      <c r="G264"/>
      <c r="H264"/>
      <c r="I264"/>
      <c r="J264"/>
      <c r="K264"/>
      <c r="L264"/>
    </row>
    <row r="265" spans="1:13" x14ac:dyDescent="0.3">
      <c r="E265"/>
      <c r="F265"/>
      <c r="G265"/>
      <c r="H265"/>
      <c r="I265"/>
      <c r="J265"/>
      <c r="K265"/>
      <c r="L265"/>
    </row>
    <row r="266" spans="1:13" x14ac:dyDescent="0.3">
      <c r="B266" s="59">
        <v>2771</v>
      </c>
      <c r="C266" s="1" t="s">
        <v>564</v>
      </c>
      <c r="D266" s="122" t="s">
        <v>565</v>
      </c>
      <c r="E266"/>
      <c r="F266" s="66">
        <v>8837.5</v>
      </c>
      <c r="G266" s="66">
        <v>8837.5</v>
      </c>
      <c r="H266"/>
      <c r="I266"/>
      <c r="J266"/>
      <c r="K266"/>
      <c r="L266"/>
      <c r="M266" s="67">
        <v>0</v>
      </c>
    </row>
    <row r="267" spans="1:13" x14ac:dyDescent="0.3">
      <c r="E267"/>
      <c r="F267"/>
      <c r="G267"/>
      <c r="H267"/>
      <c r="I267"/>
      <c r="J267"/>
      <c r="K267"/>
      <c r="L267"/>
    </row>
    <row r="268" spans="1:13" x14ac:dyDescent="0.3">
      <c r="E268" s="34" t="s">
        <v>91</v>
      </c>
      <c r="F268" s="60">
        <v>8837.5</v>
      </c>
      <c r="G268" s="60">
        <v>8837.5</v>
      </c>
      <c r="H268" s="60">
        <v>0</v>
      </c>
      <c r="I268" s="60">
        <v>0</v>
      </c>
      <c r="J268" s="60">
        <v>0</v>
      </c>
      <c r="K268" s="60">
        <v>0</v>
      </c>
      <c r="L268" s="60">
        <v>0</v>
      </c>
      <c r="M268" s="60">
        <v>0</v>
      </c>
    </row>
    <row r="269" spans="1:13" x14ac:dyDescent="0.3">
      <c r="E269"/>
      <c r="F269"/>
      <c r="G269"/>
      <c r="H269"/>
      <c r="I269"/>
      <c r="J269"/>
      <c r="K269"/>
      <c r="L269"/>
    </row>
    <row r="270" spans="1:13" x14ac:dyDescent="0.3">
      <c r="A270" s="2" t="s">
        <v>504</v>
      </c>
      <c r="E270"/>
      <c r="F270"/>
      <c r="G270"/>
      <c r="H270"/>
      <c r="I270"/>
      <c r="J270"/>
      <c r="K270"/>
      <c r="L270"/>
    </row>
    <row r="271" spans="1:13" x14ac:dyDescent="0.3">
      <c r="E271"/>
      <c r="F271"/>
      <c r="G271"/>
      <c r="H271"/>
      <c r="I271"/>
      <c r="J271"/>
      <c r="K271"/>
      <c r="L271"/>
    </row>
    <row r="272" spans="1:13" x14ac:dyDescent="0.3">
      <c r="B272" s="59">
        <v>2788</v>
      </c>
      <c r="C272" s="1" t="s">
        <v>566</v>
      </c>
      <c r="D272" s="122" t="s">
        <v>558</v>
      </c>
      <c r="E272"/>
      <c r="F272" s="66">
        <v>58450</v>
      </c>
      <c r="G272" s="66">
        <v>58450</v>
      </c>
      <c r="H272"/>
      <c r="I272"/>
      <c r="J272"/>
      <c r="K272"/>
      <c r="L272"/>
      <c r="M272" s="67">
        <v>0</v>
      </c>
    </row>
    <row r="273" spans="1:13" x14ac:dyDescent="0.3">
      <c r="B273" s="59">
        <v>2789</v>
      </c>
      <c r="C273" s="1" t="s">
        <v>567</v>
      </c>
      <c r="D273" s="122" t="s">
        <v>558</v>
      </c>
      <c r="E273"/>
      <c r="F273" s="66">
        <v>508500</v>
      </c>
      <c r="G273" s="66">
        <v>50850</v>
      </c>
      <c r="H273"/>
      <c r="I273">
        <v>457650</v>
      </c>
      <c r="J273"/>
      <c r="K273"/>
      <c r="L273"/>
      <c r="M273" s="67">
        <v>457650</v>
      </c>
    </row>
    <row r="274" spans="1:13" x14ac:dyDescent="0.3">
      <c r="B274" s="59">
        <v>2790</v>
      </c>
      <c r="C274" s="1" t="s">
        <v>568</v>
      </c>
      <c r="D274" s="122" t="s">
        <v>555</v>
      </c>
      <c r="E274"/>
      <c r="F274" s="66">
        <v>245800</v>
      </c>
      <c r="G274" s="66">
        <v>24580</v>
      </c>
      <c r="H274"/>
      <c r="I274">
        <v>221220</v>
      </c>
      <c r="J274"/>
      <c r="K274"/>
      <c r="L274"/>
      <c r="M274" s="67">
        <v>221220</v>
      </c>
    </row>
    <row r="275" spans="1:13" x14ac:dyDescent="0.3">
      <c r="E275"/>
      <c r="F275"/>
      <c r="G275"/>
      <c r="H275"/>
      <c r="I275"/>
      <c r="J275"/>
      <c r="K275"/>
      <c r="L275"/>
    </row>
    <row r="276" spans="1:13" x14ac:dyDescent="0.3">
      <c r="E276" s="34" t="s">
        <v>91</v>
      </c>
      <c r="F276" s="60">
        <v>812750</v>
      </c>
      <c r="G276" s="60">
        <v>133880</v>
      </c>
      <c r="H276" s="60">
        <v>0</v>
      </c>
      <c r="I276" s="60">
        <v>678870</v>
      </c>
      <c r="J276" s="60">
        <v>0</v>
      </c>
      <c r="K276" s="60">
        <v>0</v>
      </c>
      <c r="L276" s="60">
        <v>0</v>
      </c>
      <c r="M276" s="60">
        <v>678870</v>
      </c>
    </row>
    <row r="277" spans="1:13" x14ac:dyDescent="0.3">
      <c r="E277"/>
      <c r="F277"/>
      <c r="G277"/>
      <c r="H277"/>
      <c r="I277"/>
      <c r="J277"/>
      <c r="K277"/>
      <c r="L277"/>
    </row>
    <row r="278" spans="1:13" x14ac:dyDescent="0.3">
      <c r="A278" s="2" t="s">
        <v>505</v>
      </c>
      <c r="E278"/>
      <c r="F278"/>
      <c r="G278"/>
      <c r="H278"/>
      <c r="I278"/>
      <c r="J278"/>
      <c r="K278"/>
      <c r="L278"/>
    </row>
    <row r="279" spans="1:13" x14ac:dyDescent="0.3">
      <c r="E279"/>
      <c r="F279"/>
      <c r="G279"/>
      <c r="H279"/>
      <c r="I279"/>
      <c r="J279"/>
      <c r="K279"/>
      <c r="L279"/>
    </row>
    <row r="280" spans="1:13" x14ac:dyDescent="0.3">
      <c r="B280" s="59">
        <v>2690</v>
      </c>
      <c r="C280" s="1" t="s">
        <v>506</v>
      </c>
      <c r="D280" s="122" t="s">
        <v>490</v>
      </c>
      <c r="E280"/>
      <c r="F280" s="66">
        <v>27860</v>
      </c>
      <c r="G280" s="66">
        <v>27860</v>
      </c>
      <c r="H280"/>
      <c r="I280"/>
      <c r="J280"/>
      <c r="K280"/>
      <c r="L280"/>
      <c r="M280" s="67">
        <v>0</v>
      </c>
    </row>
    <row r="281" spans="1:13" x14ac:dyDescent="0.3">
      <c r="B281" s="59">
        <v>2726</v>
      </c>
      <c r="C281" s="1" t="s">
        <v>507</v>
      </c>
      <c r="D281" s="122" t="s">
        <v>435</v>
      </c>
      <c r="E281"/>
      <c r="F281" s="66">
        <v>87780</v>
      </c>
      <c r="G281" s="66">
        <v>87780</v>
      </c>
      <c r="H281"/>
      <c r="I281"/>
      <c r="J281"/>
      <c r="K281"/>
      <c r="L281"/>
      <c r="M281" s="67">
        <v>0</v>
      </c>
    </row>
    <row r="282" spans="1:13" x14ac:dyDescent="0.3">
      <c r="B282" s="59">
        <v>2743</v>
      </c>
      <c r="C282" s="1" t="s">
        <v>508</v>
      </c>
      <c r="D282" s="122" t="s">
        <v>376</v>
      </c>
      <c r="E282"/>
      <c r="F282" s="66">
        <v>8040</v>
      </c>
      <c r="G282" s="66">
        <v>8040</v>
      </c>
      <c r="H282"/>
      <c r="I282"/>
      <c r="J282"/>
      <c r="K282"/>
      <c r="L282"/>
      <c r="M282" s="67">
        <v>0</v>
      </c>
    </row>
    <row r="283" spans="1:13" x14ac:dyDescent="0.3">
      <c r="E283"/>
      <c r="F283"/>
      <c r="G283"/>
      <c r="H283"/>
      <c r="I283"/>
      <c r="J283"/>
      <c r="K283"/>
      <c r="L283"/>
    </row>
    <row r="284" spans="1:13" x14ac:dyDescent="0.3">
      <c r="E284" s="34" t="s">
        <v>91</v>
      </c>
      <c r="F284" s="60">
        <v>123680</v>
      </c>
      <c r="G284" s="60">
        <v>123680</v>
      </c>
      <c r="H284" s="60">
        <v>0</v>
      </c>
      <c r="I284" s="60">
        <v>0</v>
      </c>
      <c r="J284" s="60">
        <v>0</v>
      </c>
      <c r="K284" s="60">
        <v>0</v>
      </c>
      <c r="L284" s="60">
        <v>0</v>
      </c>
      <c r="M284" s="60">
        <v>0</v>
      </c>
    </row>
    <row r="285" spans="1:13" x14ac:dyDescent="0.3">
      <c r="E285"/>
      <c r="F285"/>
      <c r="G285"/>
      <c r="H285"/>
      <c r="I285"/>
      <c r="J285"/>
      <c r="K285"/>
      <c r="L285"/>
    </row>
    <row r="286" spans="1:13" x14ac:dyDescent="0.3">
      <c r="A286" s="2" t="s">
        <v>569</v>
      </c>
      <c r="E286"/>
      <c r="F286"/>
      <c r="G286"/>
      <c r="H286"/>
      <c r="I286"/>
      <c r="J286"/>
      <c r="K286"/>
      <c r="L286"/>
    </row>
    <row r="287" spans="1:13" x14ac:dyDescent="0.3">
      <c r="E287"/>
      <c r="F287"/>
      <c r="G287"/>
      <c r="H287"/>
      <c r="I287"/>
      <c r="J287"/>
      <c r="K287"/>
      <c r="L287"/>
    </row>
    <row r="288" spans="1:13" x14ac:dyDescent="0.3">
      <c r="B288" s="59">
        <v>2786</v>
      </c>
      <c r="C288" s="1" t="s">
        <v>570</v>
      </c>
      <c r="D288" s="122" t="s">
        <v>558</v>
      </c>
      <c r="E288"/>
      <c r="F288" s="66">
        <v>253942.2</v>
      </c>
      <c r="G288" s="66">
        <v>25394.22</v>
      </c>
      <c r="H288"/>
      <c r="I288">
        <v>228547.98</v>
      </c>
      <c r="J288"/>
      <c r="K288"/>
      <c r="L288"/>
      <c r="M288" s="67">
        <v>228547.98</v>
      </c>
    </row>
    <row r="289" spans="1:13" x14ac:dyDescent="0.3">
      <c r="B289" s="59">
        <v>2787</v>
      </c>
      <c r="C289" s="1" t="s">
        <v>571</v>
      </c>
      <c r="D289" s="122" t="s">
        <v>572</v>
      </c>
      <c r="E289"/>
      <c r="F289" s="66">
        <v>237757.8</v>
      </c>
      <c r="G289" s="66">
        <v>23775.78</v>
      </c>
      <c r="H289"/>
      <c r="I289">
        <v>213982.02</v>
      </c>
      <c r="J289"/>
      <c r="K289"/>
      <c r="L289"/>
      <c r="M289" s="67">
        <v>213982.02</v>
      </c>
    </row>
    <row r="290" spans="1:13" x14ac:dyDescent="0.3">
      <c r="E290"/>
      <c r="F290"/>
      <c r="G290"/>
      <c r="H290"/>
      <c r="I290"/>
      <c r="J290"/>
      <c r="K290"/>
      <c r="L290"/>
    </row>
    <row r="291" spans="1:13" x14ac:dyDescent="0.3">
      <c r="E291" s="34" t="s">
        <v>91</v>
      </c>
      <c r="F291" s="60">
        <v>491700</v>
      </c>
      <c r="G291" s="60">
        <v>49170</v>
      </c>
      <c r="H291" s="60">
        <v>0</v>
      </c>
      <c r="I291" s="60">
        <v>442530</v>
      </c>
      <c r="J291" s="60">
        <v>0</v>
      </c>
      <c r="K291" s="60">
        <v>0</v>
      </c>
      <c r="L291" s="60">
        <v>0</v>
      </c>
      <c r="M291" s="60">
        <v>442530</v>
      </c>
    </row>
    <row r="292" spans="1:13" x14ac:dyDescent="0.3">
      <c r="E292"/>
      <c r="F292"/>
      <c r="G292"/>
      <c r="H292"/>
      <c r="I292"/>
      <c r="J292"/>
      <c r="K292"/>
      <c r="L292"/>
    </row>
    <row r="293" spans="1:13" x14ac:dyDescent="0.3">
      <c r="A293" s="2" t="s">
        <v>509</v>
      </c>
      <c r="E293"/>
      <c r="F293"/>
      <c r="G293"/>
      <c r="H293"/>
      <c r="I293"/>
      <c r="J293"/>
      <c r="K293"/>
      <c r="L293"/>
    </row>
    <row r="294" spans="1:13" x14ac:dyDescent="0.3">
      <c r="E294"/>
      <c r="F294"/>
      <c r="G294"/>
      <c r="H294"/>
      <c r="I294"/>
      <c r="J294"/>
      <c r="K294"/>
      <c r="L294"/>
    </row>
    <row r="295" spans="1:13" x14ac:dyDescent="0.3">
      <c r="B295" s="59">
        <v>2640</v>
      </c>
      <c r="C295" s="1" t="s">
        <v>510</v>
      </c>
      <c r="D295" s="122" t="s">
        <v>540</v>
      </c>
      <c r="E295"/>
      <c r="F295" s="66">
        <v>9247.5</v>
      </c>
      <c r="G295" s="66">
        <v>0</v>
      </c>
      <c r="H295">
        <v>9247.5</v>
      </c>
      <c r="I295"/>
      <c r="J295"/>
      <c r="K295"/>
      <c r="L295"/>
      <c r="M295" s="67">
        <v>9247.5</v>
      </c>
    </row>
    <row r="296" spans="1:13" x14ac:dyDescent="0.3">
      <c r="B296" s="59">
        <v>2641</v>
      </c>
      <c r="C296" s="1" t="s">
        <v>511</v>
      </c>
      <c r="D296" s="122" t="s">
        <v>540</v>
      </c>
      <c r="E296"/>
      <c r="F296" s="66">
        <v>10750</v>
      </c>
      <c r="G296" s="66">
        <v>0</v>
      </c>
      <c r="H296">
        <v>10750</v>
      </c>
      <c r="I296"/>
      <c r="J296"/>
      <c r="K296"/>
      <c r="L296"/>
      <c r="M296" s="67">
        <v>10750</v>
      </c>
    </row>
    <row r="297" spans="1:13" x14ac:dyDescent="0.3">
      <c r="B297" s="59">
        <v>2685</v>
      </c>
      <c r="C297" s="1" t="s">
        <v>512</v>
      </c>
      <c r="D297" s="122" t="s">
        <v>540</v>
      </c>
      <c r="E297"/>
      <c r="F297" s="66">
        <v>8527.5</v>
      </c>
      <c r="G297" s="66">
        <v>0</v>
      </c>
      <c r="H297">
        <v>8527.5</v>
      </c>
      <c r="I297"/>
      <c r="J297"/>
      <c r="K297"/>
      <c r="L297"/>
      <c r="M297" s="67">
        <v>8527.5</v>
      </c>
    </row>
    <row r="298" spans="1:13" x14ac:dyDescent="0.3">
      <c r="B298" s="59">
        <v>2706</v>
      </c>
      <c r="C298" s="1" t="s">
        <v>513</v>
      </c>
      <c r="D298" s="122" t="s">
        <v>540</v>
      </c>
      <c r="E298"/>
      <c r="F298" s="66">
        <v>4938.49</v>
      </c>
      <c r="G298" s="66">
        <v>0</v>
      </c>
      <c r="H298">
        <v>4938.49</v>
      </c>
      <c r="I298"/>
      <c r="J298"/>
      <c r="K298"/>
      <c r="L298"/>
      <c r="M298" s="67">
        <v>4938.49</v>
      </c>
    </row>
    <row r="299" spans="1:13" x14ac:dyDescent="0.3">
      <c r="B299" s="59">
        <v>2719</v>
      </c>
      <c r="C299" s="1" t="s">
        <v>514</v>
      </c>
      <c r="D299" s="122" t="s">
        <v>540</v>
      </c>
      <c r="E299"/>
      <c r="F299" s="66">
        <v>920</v>
      </c>
      <c r="G299" s="66">
        <v>0</v>
      </c>
      <c r="H299">
        <v>920</v>
      </c>
      <c r="I299"/>
      <c r="J299"/>
      <c r="K299"/>
      <c r="L299"/>
      <c r="M299" s="67">
        <v>920</v>
      </c>
    </row>
    <row r="300" spans="1:13" x14ac:dyDescent="0.3">
      <c r="B300" s="59">
        <v>2760</v>
      </c>
      <c r="C300" s="1" t="s">
        <v>515</v>
      </c>
      <c r="D300" s="122" t="s">
        <v>540</v>
      </c>
      <c r="E300"/>
      <c r="F300" s="66">
        <v>475</v>
      </c>
      <c r="G300" s="66">
        <v>0</v>
      </c>
      <c r="H300">
        <v>475</v>
      </c>
      <c r="I300"/>
      <c r="J300"/>
      <c r="K300"/>
      <c r="L300"/>
      <c r="M300" s="67">
        <v>475</v>
      </c>
    </row>
    <row r="301" spans="1:13" x14ac:dyDescent="0.3">
      <c r="B301" s="59">
        <v>2775</v>
      </c>
      <c r="C301" s="1" t="s">
        <v>573</v>
      </c>
      <c r="D301" s="122" t="s">
        <v>540</v>
      </c>
      <c r="E301"/>
      <c r="F301" s="66">
        <v>154.65</v>
      </c>
      <c r="G301" s="66">
        <v>0</v>
      </c>
      <c r="H301">
        <v>154.65</v>
      </c>
      <c r="I301"/>
      <c r="J301"/>
      <c r="K301"/>
      <c r="L301"/>
      <c r="M301" s="67">
        <v>154.65</v>
      </c>
    </row>
    <row r="302" spans="1:13" x14ac:dyDescent="0.3">
      <c r="E302"/>
      <c r="F302"/>
      <c r="G302"/>
      <c r="H302"/>
      <c r="I302"/>
      <c r="J302"/>
      <c r="K302"/>
      <c r="L302"/>
    </row>
    <row r="303" spans="1:13" x14ac:dyDescent="0.3">
      <c r="E303" s="34" t="s">
        <v>91</v>
      </c>
      <c r="F303" s="60">
        <v>35013.14</v>
      </c>
      <c r="G303" s="60">
        <v>0</v>
      </c>
      <c r="H303" s="60">
        <v>35013.14</v>
      </c>
      <c r="I303" s="60">
        <v>0</v>
      </c>
      <c r="J303" s="60">
        <v>0</v>
      </c>
      <c r="K303" s="60">
        <v>0</v>
      </c>
      <c r="L303" s="60">
        <v>0</v>
      </c>
      <c r="M303" s="60">
        <v>35013.14</v>
      </c>
    </row>
    <row r="304" spans="1:13" x14ac:dyDescent="0.3">
      <c r="E304"/>
      <c r="F304"/>
      <c r="G304"/>
      <c r="H304"/>
      <c r="I304"/>
      <c r="J304"/>
      <c r="K304"/>
      <c r="L304"/>
    </row>
    <row r="305" spans="1:13" x14ac:dyDescent="0.3">
      <c r="A305" s="2" t="s">
        <v>574</v>
      </c>
      <c r="E305"/>
      <c r="F305"/>
      <c r="G305"/>
      <c r="H305"/>
      <c r="I305"/>
      <c r="J305"/>
      <c r="K305"/>
      <c r="L305"/>
    </row>
    <row r="306" spans="1:13" x14ac:dyDescent="0.3">
      <c r="E306"/>
      <c r="F306"/>
      <c r="G306"/>
      <c r="H306"/>
      <c r="I306"/>
      <c r="J306"/>
      <c r="K306"/>
      <c r="L306"/>
    </row>
    <row r="307" spans="1:13" x14ac:dyDescent="0.3">
      <c r="B307" s="59">
        <v>2693</v>
      </c>
      <c r="C307" s="1" t="s">
        <v>516</v>
      </c>
      <c r="D307" s="122" t="s">
        <v>517</v>
      </c>
      <c r="E307"/>
      <c r="F307" s="66">
        <v>4000</v>
      </c>
      <c r="G307" s="66">
        <v>4000</v>
      </c>
      <c r="H307"/>
      <c r="I307"/>
      <c r="J307"/>
      <c r="K307"/>
      <c r="L307"/>
      <c r="M307" s="67">
        <v>0</v>
      </c>
    </row>
    <row r="308" spans="1:13" x14ac:dyDescent="0.3">
      <c r="B308" s="59">
        <v>2694</v>
      </c>
      <c r="C308" s="1" t="s">
        <v>518</v>
      </c>
      <c r="D308" s="122" t="s">
        <v>517</v>
      </c>
      <c r="E308"/>
      <c r="F308" s="66">
        <v>40140</v>
      </c>
      <c r="G308" s="66">
        <v>40140</v>
      </c>
      <c r="H308"/>
      <c r="I308"/>
      <c r="J308"/>
      <c r="K308"/>
      <c r="L308"/>
      <c r="M308" s="67">
        <v>0</v>
      </c>
    </row>
    <row r="309" spans="1:13" x14ac:dyDescent="0.3">
      <c r="B309" s="59">
        <v>2695</v>
      </c>
      <c r="C309" s="1" t="s">
        <v>519</v>
      </c>
      <c r="D309" s="122" t="s">
        <v>433</v>
      </c>
      <c r="E309"/>
      <c r="F309" s="66">
        <v>51186.2</v>
      </c>
      <c r="G309" s="66">
        <v>51186.2</v>
      </c>
      <c r="H309"/>
      <c r="I309"/>
      <c r="J309"/>
      <c r="K309"/>
      <c r="L309"/>
      <c r="M309" s="67">
        <v>0</v>
      </c>
    </row>
    <row r="310" spans="1:13" x14ac:dyDescent="0.3">
      <c r="B310" s="59">
        <v>2707</v>
      </c>
      <c r="C310" s="1" t="s">
        <v>520</v>
      </c>
      <c r="D310" s="122" t="s">
        <v>433</v>
      </c>
      <c r="E310"/>
      <c r="F310" s="66">
        <v>22833.8</v>
      </c>
      <c r="G310" s="66">
        <v>22833.8</v>
      </c>
      <c r="H310"/>
      <c r="I310"/>
      <c r="J310"/>
      <c r="K310"/>
      <c r="L310"/>
      <c r="M310" s="67">
        <v>0</v>
      </c>
    </row>
    <row r="311" spans="1:13" x14ac:dyDescent="0.3">
      <c r="B311" s="59">
        <v>2772</v>
      </c>
      <c r="C311" s="1" t="s">
        <v>575</v>
      </c>
      <c r="D311" s="122" t="s">
        <v>435</v>
      </c>
      <c r="E311"/>
      <c r="F311" s="66">
        <v>437619.79</v>
      </c>
      <c r="G311" s="66">
        <v>43761.98</v>
      </c>
      <c r="H311"/>
      <c r="I311"/>
      <c r="J311"/>
      <c r="K311"/>
      <c r="L311">
        <v>393857.81</v>
      </c>
      <c r="M311" s="67">
        <v>393857.81</v>
      </c>
    </row>
    <row r="312" spans="1:13" x14ac:dyDescent="0.3">
      <c r="B312" s="59">
        <v>2773</v>
      </c>
      <c r="C312" s="1" t="s">
        <v>576</v>
      </c>
      <c r="D312" s="122" t="s">
        <v>436</v>
      </c>
      <c r="E312"/>
      <c r="F312" s="66">
        <v>594386.65</v>
      </c>
      <c r="G312" s="66">
        <v>59438.67</v>
      </c>
      <c r="H312"/>
      <c r="I312"/>
      <c r="J312"/>
      <c r="K312">
        <v>534947.98</v>
      </c>
      <c r="L312"/>
      <c r="M312" s="67">
        <v>534947.98</v>
      </c>
    </row>
    <row r="313" spans="1:13" x14ac:dyDescent="0.3">
      <c r="B313" s="59">
        <v>2774</v>
      </c>
      <c r="C313" s="1" t="s">
        <v>577</v>
      </c>
      <c r="D313" s="122" t="s">
        <v>548</v>
      </c>
      <c r="E313"/>
      <c r="F313" s="66">
        <v>1508.62</v>
      </c>
      <c r="G313" s="66">
        <v>150.86000000000001</v>
      </c>
      <c r="H313"/>
      <c r="I313"/>
      <c r="J313">
        <v>1357.7599999999998</v>
      </c>
      <c r="K313"/>
      <c r="L313"/>
      <c r="M313" s="67">
        <v>1357.7599999999998</v>
      </c>
    </row>
    <row r="314" spans="1:13" x14ac:dyDescent="0.3">
      <c r="B314" s="59">
        <v>2793</v>
      </c>
      <c r="C314" s="1" t="s">
        <v>578</v>
      </c>
      <c r="D314" s="122" t="s">
        <v>549</v>
      </c>
      <c r="E314"/>
      <c r="F314" s="66">
        <v>168082.27</v>
      </c>
      <c r="G314" s="66">
        <v>16808.23</v>
      </c>
      <c r="H314"/>
      <c r="I314">
        <v>151274.03999999998</v>
      </c>
      <c r="J314"/>
      <c r="K314"/>
      <c r="L314"/>
      <c r="M314" s="67">
        <v>151274.03999999998</v>
      </c>
    </row>
    <row r="315" spans="1:13" x14ac:dyDescent="0.3">
      <c r="E315"/>
      <c r="F315"/>
      <c r="G315"/>
      <c r="H315"/>
      <c r="I315"/>
      <c r="J315"/>
      <c r="K315"/>
      <c r="L315"/>
    </row>
    <row r="316" spans="1:13" x14ac:dyDescent="0.3">
      <c r="E316" s="34" t="s">
        <v>91</v>
      </c>
      <c r="F316" s="60">
        <v>1319757.33</v>
      </c>
      <c r="G316" s="60">
        <v>238319.74</v>
      </c>
      <c r="H316" s="60">
        <v>0</v>
      </c>
      <c r="I316" s="60">
        <v>151274.04</v>
      </c>
      <c r="J316" s="60">
        <v>1357.76</v>
      </c>
      <c r="K316" s="60">
        <v>534947.98</v>
      </c>
      <c r="L316" s="60">
        <v>393857.81</v>
      </c>
      <c r="M316" s="60">
        <v>1081437.5900000001</v>
      </c>
    </row>
    <row r="317" spans="1:13" x14ac:dyDescent="0.3">
      <c r="E317"/>
      <c r="F317"/>
      <c r="G317"/>
      <c r="H317"/>
      <c r="I317"/>
      <c r="J317"/>
      <c r="K317"/>
      <c r="L317"/>
    </row>
    <row r="318" spans="1:13" x14ac:dyDescent="0.3">
      <c r="A318" s="2" t="s">
        <v>521</v>
      </c>
      <c r="E318"/>
      <c r="F318"/>
      <c r="G318"/>
      <c r="H318"/>
      <c r="I318"/>
      <c r="J318"/>
      <c r="K318"/>
      <c r="L318"/>
    </row>
    <row r="319" spans="1:13" x14ac:dyDescent="0.3">
      <c r="E319"/>
      <c r="F319"/>
      <c r="G319"/>
      <c r="H319"/>
      <c r="I319"/>
      <c r="J319"/>
      <c r="K319"/>
      <c r="L319"/>
    </row>
    <row r="320" spans="1:13" x14ac:dyDescent="0.3">
      <c r="B320" s="59">
        <v>2712</v>
      </c>
      <c r="C320" s="1" t="s">
        <v>522</v>
      </c>
      <c r="D320" s="122" t="s">
        <v>433</v>
      </c>
      <c r="E320"/>
      <c r="F320" s="66">
        <v>32328.639999999999</v>
      </c>
      <c r="G320" s="66">
        <v>0</v>
      </c>
      <c r="H320"/>
      <c r="I320"/>
      <c r="J320"/>
      <c r="K320"/>
      <c r="L320">
        <v>32328.639999999999</v>
      </c>
      <c r="M320" s="67">
        <v>32328.639999999999</v>
      </c>
    </row>
    <row r="321" spans="1:13" x14ac:dyDescent="0.3">
      <c r="B321" s="59">
        <v>2745</v>
      </c>
      <c r="C321" s="1" t="s">
        <v>579</v>
      </c>
      <c r="D321" s="122" t="s">
        <v>560</v>
      </c>
      <c r="E321"/>
      <c r="F321" s="66">
        <v>3333.29</v>
      </c>
      <c r="G321" s="66">
        <v>3333.29</v>
      </c>
      <c r="H321"/>
      <c r="I321"/>
      <c r="J321"/>
      <c r="K321"/>
      <c r="L321"/>
      <c r="M321" s="67">
        <v>0</v>
      </c>
    </row>
    <row r="322" spans="1:13" x14ac:dyDescent="0.3">
      <c r="B322" s="59">
        <v>2746</v>
      </c>
      <c r="C322" s="1" t="s">
        <v>580</v>
      </c>
      <c r="D322" s="122" t="s">
        <v>562</v>
      </c>
      <c r="E322"/>
      <c r="F322" s="66">
        <v>3833.31</v>
      </c>
      <c r="G322" s="66">
        <v>3833.29</v>
      </c>
      <c r="H322"/>
      <c r="I322"/>
      <c r="J322">
        <v>1.999999999998181E-2</v>
      </c>
      <c r="K322"/>
      <c r="L322"/>
      <c r="M322" s="67">
        <v>1.999999999998181E-2</v>
      </c>
    </row>
    <row r="323" spans="1:13" x14ac:dyDescent="0.3">
      <c r="E323"/>
      <c r="F323"/>
      <c r="G323"/>
      <c r="H323"/>
      <c r="I323"/>
      <c r="J323"/>
      <c r="K323"/>
      <c r="L323"/>
    </row>
    <row r="324" spans="1:13" x14ac:dyDescent="0.3">
      <c r="E324" s="34" t="s">
        <v>91</v>
      </c>
      <c r="F324" s="60">
        <v>39495.24</v>
      </c>
      <c r="G324" s="60">
        <v>7166.58</v>
      </c>
      <c r="H324" s="60">
        <v>0</v>
      </c>
      <c r="I324" s="60">
        <v>0</v>
      </c>
      <c r="J324" s="60">
        <v>0.02</v>
      </c>
      <c r="K324" s="60">
        <v>0</v>
      </c>
      <c r="L324" s="60">
        <v>32328.639999999999</v>
      </c>
      <c r="M324" s="60">
        <v>32328.66</v>
      </c>
    </row>
    <row r="325" spans="1:13" x14ac:dyDescent="0.3">
      <c r="E325"/>
      <c r="F325"/>
      <c r="G325"/>
      <c r="H325"/>
      <c r="I325"/>
      <c r="J325"/>
      <c r="K325"/>
      <c r="L325"/>
    </row>
    <row r="326" spans="1:13" x14ac:dyDescent="0.3">
      <c r="A326" s="2" t="s">
        <v>581</v>
      </c>
      <c r="E326"/>
      <c r="F326"/>
      <c r="G326"/>
      <c r="H326"/>
      <c r="I326"/>
      <c r="J326"/>
      <c r="K326"/>
      <c r="L326"/>
    </row>
    <row r="327" spans="1:13" x14ac:dyDescent="0.3">
      <c r="E327"/>
      <c r="F327"/>
      <c r="G327"/>
      <c r="H327"/>
      <c r="I327"/>
      <c r="J327"/>
      <c r="K327"/>
      <c r="L327"/>
    </row>
    <row r="328" spans="1:13" x14ac:dyDescent="0.3">
      <c r="B328" s="59">
        <v>2785</v>
      </c>
      <c r="C328" s="1" t="s">
        <v>582</v>
      </c>
      <c r="D328" s="122" t="s">
        <v>558</v>
      </c>
      <c r="E328"/>
      <c r="F328" s="66">
        <v>673500</v>
      </c>
      <c r="G328" s="66">
        <v>67350</v>
      </c>
      <c r="H328"/>
      <c r="I328">
        <v>606150</v>
      </c>
      <c r="J328"/>
      <c r="K328"/>
      <c r="L328"/>
      <c r="M328" s="67">
        <v>606150</v>
      </c>
    </row>
    <row r="329" spans="1:13" x14ac:dyDescent="0.3">
      <c r="E329"/>
      <c r="F329"/>
      <c r="G329"/>
      <c r="H329"/>
      <c r="I329"/>
      <c r="J329"/>
      <c r="K329"/>
      <c r="L329"/>
    </row>
    <row r="330" spans="1:13" x14ac:dyDescent="0.3">
      <c r="E330" s="34" t="s">
        <v>91</v>
      </c>
      <c r="F330" s="60">
        <v>673500</v>
      </c>
      <c r="G330" s="60">
        <v>67350</v>
      </c>
      <c r="H330" s="60">
        <v>0</v>
      </c>
      <c r="I330" s="60">
        <v>606150</v>
      </c>
      <c r="J330" s="60">
        <v>0</v>
      </c>
      <c r="K330" s="60">
        <v>0</v>
      </c>
      <c r="L330" s="60">
        <v>0</v>
      </c>
      <c r="M330" s="60">
        <v>606150</v>
      </c>
    </row>
    <row r="331" spans="1:13" x14ac:dyDescent="0.3">
      <c r="E331"/>
      <c r="F331"/>
      <c r="G331"/>
      <c r="H331"/>
      <c r="I331"/>
      <c r="J331"/>
      <c r="K331"/>
      <c r="L331"/>
    </row>
    <row r="332" spans="1:13" x14ac:dyDescent="0.3">
      <c r="A332" s="2" t="s">
        <v>523</v>
      </c>
      <c r="E332"/>
      <c r="F332"/>
      <c r="G332"/>
      <c r="H332"/>
      <c r="I332"/>
      <c r="J332"/>
      <c r="K332"/>
      <c r="L332"/>
    </row>
    <row r="333" spans="1:13" x14ac:dyDescent="0.3">
      <c r="E333"/>
      <c r="F333"/>
      <c r="G333"/>
      <c r="H333"/>
      <c r="I333"/>
      <c r="J333"/>
      <c r="K333"/>
      <c r="L333"/>
    </row>
    <row r="334" spans="1:13" x14ac:dyDescent="0.3">
      <c r="B334" s="59">
        <v>2722</v>
      </c>
      <c r="C334" s="1" t="s">
        <v>524</v>
      </c>
      <c r="D334" s="122" t="s">
        <v>435</v>
      </c>
      <c r="E334"/>
      <c r="F334" s="66">
        <v>12945</v>
      </c>
      <c r="G334" s="66">
        <v>12945</v>
      </c>
      <c r="H334"/>
      <c r="I334"/>
      <c r="J334"/>
      <c r="K334"/>
      <c r="L334"/>
      <c r="M334" s="67">
        <v>0</v>
      </c>
    </row>
    <row r="335" spans="1:13" x14ac:dyDescent="0.3">
      <c r="B335" s="59">
        <v>2756</v>
      </c>
      <c r="C335" s="1" t="s">
        <v>525</v>
      </c>
      <c r="D335" s="122" t="s">
        <v>436</v>
      </c>
      <c r="E335"/>
      <c r="F335" s="66">
        <v>9875</v>
      </c>
      <c r="G335" s="66">
        <v>9875</v>
      </c>
      <c r="H335"/>
      <c r="I335"/>
      <c r="J335"/>
      <c r="K335"/>
      <c r="L335"/>
      <c r="M335" s="67">
        <v>0</v>
      </c>
    </row>
    <row r="336" spans="1:13" x14ac:dyDescent="0.3">
      <c r="B336" s="59">
        <v>2757</v>
      </c>
      <c r="C336" s="1" t="s">
        <v>583</v>
      </c>
      <c r="D336" s="122" t="s">
        <v>548</v>
      </c>
      <c r="E336"/>
      <c r="F336" s="66">
        <v>81400</v>
      </c>
      <c r="G336" s="66">
        <v>8140</v>
      </c>
      <c r="H336"/>
      <c r="I336"/>
      <c r="J336">
        <v>73260</v>
      </c>
      <c r="K336"/>
      <c r="L336"/>
      <c r="M336" s="67">
        <v>73260</v>
      </c>
    </row>
    <row r="337" spans="1:13" x14ac:dyDescent="0.3">
      <c r="B337" s="59">
        <v>2782</v>
      </c>
      <c r="C337" s="1" t="s">
        <v>584</v>
      </c>
      <c r="D337" s="122" t="s">
        <v>549</v>
      </c>
      <c r="E337"/>
      <c r="F337" s="66">
        <v>33800</v>
      </c>
      <c r="G337" s="66">
        <v>3380</v>
      </c>
      <c r="H337"/>
      <c r="I337">
        <v>30420</v>
      </c>
      <c r="J337"/>
      <c r="K337"/>
      <c r="L337"/>
      <c r="M337" s="67">
        <v>30420</v>
      </c>
    </row>
    <row r="338" spans="1:13" x14ac:dyDescent="0.3">
      <c r="E338"/>
      <c r="F338"/>
      <c r="G338"/>
      <c r="H338"/>
      <c r="I338"/>
      <c r="J338"/>
      <c r="K338"/>
      <c r="L338"/>
    </row>
    <row r="339" spans="1:13" x14ac:dyDescent="0.3">
      <c r="E339" s="34" t="s">
        <v>91</v>
      </c>
      <c r="F339" s="60">
        <v>138020</v>
      </c>
      <c r="G339" s="60">
        <v>34340</v>
      </c>
      <c r="H339" s="60">
        <v>0</v>
      </c>
      <c r="I339" s="60">
        <v>30420</v>
      </c>
      <c r="J339" s="60">
        <v>73260</v>
      </c>
      <c r="K339" s="60">
        <v>0</v>
      </c>
      <c r="L339" s="60">
        <v>0</v>
      </c>
      <c r="M339" s="60">
        <v>103680</v>
      </c>
    </row>
    <row r="340" spans="1:13" x14ac:dyDescent="0.3">
      <c r="E340"/>
      <c r="F340"/>
      <c r="G340"/>
      <c r="H340"/>
      <c r="I340"/>
      <c r="J340"/>
      <c r="K340"/>
      <c r="L340"/>
    </row>
    <row r="341" spans="1:13" x14ac:dyDescent="0.3">
      <c r="A341" s="2" t="s">
        <v>526</v>
      </c>
      <c r="E341"/>
      <c r="F341"/>
      <c r="G341"/>
      <c r="H341"/>
      <c r="I341"/>
      <c r="J341"/>
      <c r="K341"/>
      <c r="L341"/>
    </row>
    <row r="342" spans="1:13" x14ac:dyDescent="0.3">
      <c r="E342"/>
      <c r="F342"/>
      <c r="G342"/>
      <c r="H342"/>
      <c r="I342"/>
      <c r="J342"/>
      <c r="K342"/>
      <c r="L342"/>
    </row>
    <row r="343" spans="1:13" x14ac:dyDescent="0.3">
      <c r="B343" s="59">
        <v>2709</v>
      </c>
      <c r="C343" s="1" t="s">
        <v>527</v>
      </c>
      <c r="D343" s="122" t="s">
        <v>472</v>
      </c>
      <c r="E343"/>
      <c r="F343" s="66">
        <v>8652</v>
      </c>
      <c r="G343" s="66">
        <v>0</v>
      </c>
      <c r="H343"/>
      <c r="I343"/>
      <c r="J343"/>
      <c r="K343"/>
      <c r="L343">
        <v>8652</v>
      </c>
      <c r="M343" s="67">
        <v>8652</v>
      </c>
    </row>
    <row r="344" spans="1:13" x14ac:dyDescent="0.3">
      <c r="E344"/>
      <c r="F344"/>
      <c r="G344"/>
      <c r="H344"/>
      <c r="I344"/>
      <c r="J344"/>
      <c r="K344"/>
      <c r="L344"/>
    </row>
    <row r="345" spans="1:13" x14ac:dyDescent="0.3">
      <c r="E345" s="34" t="s">
        <v>91</v>
      </c>
      <c r="F345" s="60">
        <v>8652</v>
      </c>
      <c r="G345" s="60">
        <v>0</v>
      </c>
      <c r="H345" s="60">
        <v>0</v>
      </c>
      <c r="I345" s="60">
        <v>0</v>
      </c>
      <c r="J345" s="60">
        <v>0</v>
      </c>
      <c r="K345" s="60">
        <v>0</v>
      </c>
      <c r="L345" s="60">
        <v>8652</v>
      </c>
      <c r="M345" s="60">
        <v>8652</v>
      </c>
    </row>
    <row r="346" spans="1:13" x14ac:dyDescent="0.3">
      <c r="E346"/>
      <c r="F346"/>
      <c r="G346"/>
      <c r="H346"/>
      <c r="I346"/>
      <c r="J346"/>
      <c r="K346"/>
      <c r="L346"/>
    </row>
    <row r="347" spans="1:13" x14ac:dyDescent="0.3">
      <c r="A347" s="2" t="s">
        <v>585</v>
      </c>
      <c r="E347"/>
      <c r="F347"/>
      <c r="G347"/>
      <c r="H347"/>
      <c r="I347"/>
      <c r="J347"/>
      <c r="K347"/>
      <c r="L347"/>
    </row>
    <row r="348" spans="1:13" x14ac:dyDescent="0.3">
      <c r="E348"/>
      <c r="F348"/>
      <c r="G348"/>
      <c r="H348"/>
      <c r="I348"/>
      <c r="J348"/>
      <c r="K348"/>
      <c r="L348"/>
    </row>
    <row r="349" spans="1:13" x14ac:dyDescent="0.3">
      <c r="B349" s="59">
        <v>2794</v>
      </c>
      <c r="C349" s="1" t="s">
        <v>586</v>
      </c>
      <c r="D349" s="122" t="s">
        <v>587</v>
      </c>
      <c r="E349"/>
      <c r="F349" s="66">
        <v>12000</v>
      </c>
      <c r="G349" s="66">
        <v>0</v>
      </c>
      <c r="H349"/>
      <c r="I349">
        <v>12000</v>
      </c>
      <c r="J349"/>
      <c r="K349"/>
      <c r="L349"/>
      <c r="M349" s="67">
        <v>12000</v>
      </c>
    </row>
    <row r="350" spans="1:13" x14ac:dyDescent="0.3">
      <c r="E350"/>
      <c r="F350"/>
      <c r="G350"/>
      <c r="H350"/>
      <c r="I350"/>
      <c r="J350"/>
      <c r="K350"/>
      <c r="L350"/>
    </row>
    <row r="351" spans="1:13" x14ac:dyDescent="0.3">
      <c r="E351" s="34" t="s">
        <v>91</v>
      </c>
      <c r="F351" s="60">
        <v>12000</v>
      </c>
      <c r="G351" s="60">
        <v>0</v>
      </c>
      <c r="H351" s="60">
        <v>0</v>
      </c>
      <c r="I351" s="60">
        <v>12000</v>
      </c>
      <c r="J351" s="60">
        <v>0</v>
      </c>
      <c r="K351" s="60">
        <v>0</v>
      </c>
      <c r="L351" s="60">
        <v>0</v>
      </c>
      <c r="M351" s="60">
        <v>12000</v>
      </c>
    </row>
    <row r="352" spans="1:13" x14ac:dyDescent="0.3">
      <c r="E352"/>
      <c r="F352"/>
      <c r="G352"/>
      <c r="H352"/>
      <c r="I352"/>
      <c r="J352"/>
      <c r="K352"/>
      <c r="L352"/>
    </row>
    <row r="353" spans="1:13" x14ac:dyDescent="0.3">
      <c r="A353" s="2" t="s">
        <v>528</v>
      </c>
      <c r="E353"/>
      <c r="F353"/>
      <c r="G353"/>
      <c r="H353"/>
      <c r="I353"/>
      <c r="J353"/>
      <c r="K353"/>
      <c r="L353"/>
    </row>
    <row r="354" spans="1:13" x14ac:dyDescent="0.3">
      <c r="E354"/>
      <c r="F354"/>
      <c r="G354"/>
      <c r="H354"/>
      <c r="I354"/>
      <c r="J354"/>
      <c r="K354"/>
      <c r="L354"/>
    </row>
    <row r="355" spans="1:13" x14ac:dyDescent="0.3">
      <c r="B355" s="59">
        <v>2781</v>
      </c>
      <c r="C355" s="1" t="s">
        <v>588</v>
      </c>
      <c r="D355" s="122" t="s">
        <v>558</v>
      </c>
      <c r="E355"/>
      <c r="F355" s="66">
        <v>10281</v>
      </c>
      <c r="G355" s="66">
        <v>0</v>
      </c>
      <c r="H355"/>
      <c r="I355">
        <v>10281</v>
      </c>
      <c r="J355"/>
      <c r="K355"/>
      <c r="L355"/>
      <c r="M355" s="67">
        <v>10281</v>
      </c>
    </row>
    <row r="356" spans="1:13" x14ac:dyDescent="0.3">
      <c r="E356"/>
      <c r="F356"/>
      <c r="G356"/>
      <c r="H356"/>
      <c r="I356"/>
      <c r="J356"/>
      <c r="K356"/>
      <c r="L356"/>
    </row>
    <row r="357" spans="1:13" x14ac:dyDescent="0.3">
      <c r="E357" s="34" t="s">
        <v>91</v>
      </c>
      <c r="F357" s="60">
        <v>10281</v>
      </c>
      <c r="G357" s="60">
        <v>0</v>
      </c>
      <c r="H357" s="60">
        <v>0</v>
      </c>
      <c r="I357" s="60">
        <v>10281</v>
      </c>
      <c r="J357" s="60">
        <v>0</v>
      </c>
      <c r="K357" s="60">
        <v>0</v>
      </c>
      <c r="L357" s="60">
        <v>0</v>
      </c>
      <c r="M357" s="60">
        <v>10281</v>
      </c>
    </row>
    <row r="358" spans="1:13" x14ac:dyDescent="0.3">
      <c r="E358"/>
      <c r="F358"/>
      <c r="G358"/>
      <c r="H358"/>
      <c r="I358"/>
      <c r="J358"/>
      <c r="K358"/>
      <c r="L358"/>
    </row>
    <row r="359" spans="1:13" x14ac:dyDescent="0.3">
      <c r="A359" s="2" t="s">
        <v>529</v>
      </c>
      <c r="E359"/>
      <c r="F359"/>
      <c r="G359"/>
      <c r="H359"/>
      <c r="I359"/>
      <c r="J359"/>
      <c r="K359"/>
      <c r="L359"/>
    </row>
    <row r="360" spans="1:13" x14ac:dyDescent="0.3">
      <c r="E360"/>
      <c r="F360"/>
      <c r="G360"/>
      <c r="H360"/>
      <c r="I360"/>
      <c r="J360"/>
      <c r="K360"/>
      <c r="L360"/>
    </row>
    <row r="361" spans="1:13" x14ac:dyDescent="0.3">
      <c r="B361" s="59">
        <v>2664</v>
      </c>
      <c r="C361" s="1" t="s">
        <v>530</v>
      </c>
      <c r="D361" s="122" t="s">
        <v>467</v>
      </c>
      <c r="E361"/>
      <c r="F361" s="66">
        <v>2050</v>
      </c>
      <c r="G361" s="66">
        <v>2050</v>
      </c>
      <c r="H361"/>
      <c r="I361"/>
      <c r="J361"/>
      <c r="K361"/>
      <c r="L361"/>
      <c r="M361" s="67">
        <v>0</v>
      </c>
    </row>
    <row r="362" spans="1:13" x14ac:dyDescent="0.3">
      <c r="E362"/>
      <c r="F362"/>
      <c r="G362"/>
      <c r="H362"/>
      <c r="I362"/>
      <c r="J362"/>
      <c r="K362"/>
      <c r="L362"/>
    </row>
    <row r="363" spans="1:13" x14ac:dyDescent="0.3">
      <c r="E363" s="34" t="s">
        <v>91</v>
      </c>
      <c r="F363" s="60">
        <v>2050</v>
      </c>
      <c r="G363" s="60">
        <v>2050</v>
      </c>
      <c r="H363" s="60">
        <v>0</v>
      </c>
      <c r="I363" s="60">
        <v>0</v>
      </c>
      <c r="J363" s="60">
        <v>0</v>
      </c>
      <c r="K363" s="60">
        <v>0</v>
      </c>
      <c r="L363" s="60">
        <v>0</v>
      </c>
      <c r="M363" s="60">
        <v>0</v>
      </c>
    </row>
    <row r="364" spans="1:13" x14ac:dyDescent="0.3">
      <c r="E364"/>
      <c r="F364"/>
      <c r="G364"/>
      <c r="H364"/>
      <c r="I364"/>
      <c r="J364"/>
      <c r="K364"/>
      <c r="L364"/>
    </row>
    <row r="365" spans="1:13" x14ac:dyDescent="0.3">
      <c r="A365" s="2" t="s">
        <v>589</v>
      </c>
      <c r="E365"/>
      <c r="F365"/>
      <c r="G365"/>
      <c r="H365"/>
      <c r="I365"/>
      <c r="J365"/>
      <c r="K365"/>
      <c r="L365"/>
    </row>
    <row r="366" spans="1:13" x14ac:dyDescent="0.3">
      <c r="E366"/>
      <c r="F366"/>
      <c r="G366"/>
      <c r="H366"/>
      <c r="I366"/>
      <c r="J366"/>
      <c r="K366"/>
      <c r="L366"/>
    </row>
    <row r="367" spans="1:13" x14ac:dyDescent="0.3">
      <c r="B367" s="59">
        <v>2768</v>
      </c>
      <c r="C367" s="1" t="s">
        <v>590</v>
      </c>
      <c r="D367" s="122" t="s">
        <v>565</v>
      </c>
      <c r="E367"/>
      <c r="F367" s="66">
        <v>2200</v>
      </c>
      <c r="G367" s="66">
        <v>2200</v>
      </c>
      <c r="H367"/>
      <c r="I367"/>
      <c r="J367"/>
      <c r="K367"/>
      <c r="L367"/>
      <c r="M367" s="67">
        <v>0</v>
      </c>
    </row>
    <row r="368" spans="1:13" x14ac:dyDescent="0.3">
      <c r="E368"/>
      <c r="F368"/>
      <c r="G368"/>
      <c r="H368"/>
      <c r="I368"/>
      <c r="J368"/>
      <c r="K368"/>
      <c r="L368"/>
    </row>
    <row r="369" spans="5:13" x14ac:dyDescent="0.3">
      <c r="E369" s="34" t="s">
        <v>91</v>
      </c>
      <c r="F369" s="60">
        <v>2200</v>
      </c>
      <c r="G369" s="60">
        <v>2200</v>
      </c>
      <c r="H369" s="60">
        <v>0</v>
      </c>
      <c r="I369" s="60">
        <v>0</v>
      </c>
      <c r="J369" s="60">
        <v>0</v>
      </c>
      <c r="K369" s="60">
        <v>0</v>
      </c>
      <c r="L369" s="60">
        <v>0</v>
      </c>
      <c r="M369" s="60">
        <v>0</v>
      </c>
    </row>
    <row r="370" spans="5:13" x14ac:dyDescent="0.3">
      <c r="E370"/>
      <c r="F370"/>
      <c r="G370"/>
      <c r="H370"/>
      <c r="I370"/>
      <c r="J370"/>
      <c r="K370"/>
      <c r="L370"/>
    </row>
    <row r="371" spans="5:13" x14ac:dyDescent="0.3">
      <c r="E371"/>
      <c r="F371"/>
      <c r="G371"/>
      <c r="H371"/>
      <c r="I371"/>
      <c r="J371"/>
      <c r="K371"/>
      <c r="L371"/>
    </row>
    <row r="372" spans="5:13" x14ac:dyDescent="0.3">
      <c r="E372" s="34" t="s">
        <v>92</v>
      </c>
      <c r="F372" s="60">
        <v>22228479.960000001</v>
      </c>
      <c r="G372" s="60">
        <v>9063738.5899999999</v>
      </c>
      <c r="H372" s="60">
        <v>8627533.1799999997</v>
      </c>
      <c r="I372" s="60">
        <v>2959016.99</v>
      </c>
      <c r="J372" s="60">
        <v>552728.1</v>
      </c>
      <c r="K372" s="60">
        <v>533097.16</v>
      </c>
      <c r="L372" s="60">
        <v>492365.94</v>
      </c>
      <c r="M372" s="60">
        <v>13164741.369999999</v>
      </c>
    </row>
    <row r="373" spans="5:13" x14ac:dyDescent="0.3">
      <c r="E373"/>
      <c r="F373"/>
      <c r="G373"/>
      <c r="H373"/>
      <c r="I373"/>
      <c r="J373"/>
      <c r="K373"/>
      <c r="L373"/>
    </row>
    <row r="374" spans="5:13" x14ac:dyDescent="0.3">
      <c r="E374"/>
      <c r="F374"/>
      <c r="G374"/>
      <c r="H374"/>
      <c r="I374"/>
      <c r="J374"/>
      <c r="K374"/>
      <c r="L374"/>
    </row>
    <row r="375" spans="5:13" x14ac:dyDescent="0.3">
      <c r="E375"/>
      <c r="F375"/>
      <c r="G375"/>
      <c r="H375"/>
      <c r="I375"/>
      <c r="J375"/>
      <c r="K375"/>
      <c r="L375"/>
    </row>
    <row r="376" spans="5:13" x14ac:dyDescent="0.3">
      <c r="E376"/>
      <c r="F376"/>
      <c r="G376"/>
      <c r="H376"/>
      <c r="I376"/>
      <c r="J376"/>
      <c r="K376"/>
      <c r="L376"/>
    </row>
    <row r="377" spans="5:13" x14ac:dyDescent="0.3">
      <c r="E377"/>
      <c r="F377"/>
      <c r="G377"/>
      <c r="H377"/>
      <c r="I377"/>
      <c r="J377"/>
      <c r="K377"/>
      <c r="L377"/>
    </row>
    <row r="378" spans="5:13" x14ac:dyDescent="0.3">
      <c r="E378"/>
      <c r="F378"/>
      <c r="G378"/>
      <c r="H378"/>
      <c r="I378"/>
      <c r="J378"/>
      <c r="K378"/>
      <c r="L378"/>
    </row>
    <row r="379" spans="5:13" x14ac:dyDescent="0.3">
      <c r="E379"/>
      <c r="F379"/>
      <c r="G379"/>
      <c r="H379"/>
      <c r="I379"/>
      <c r="J379"/>
      <c r="K379"/>
      <c r="L379"/>
    </row>
    <row r="380" spans="5:13" x14ac:dyDescent="0.3">
      <c r="E380"/>
      <c r="F380"/>
      <c r="G380"/>
      <c r="H380"/>
      <c r="I380"/>
      <c r="J380"/>
      <c r="K380"/>
      <c r="L380"/>
    </row>
    <row r="381" spans="5:13" x14ac:dyDescent="0.3">
      <c r="E381"/>
      <c r="F381"/>
      <c r="G381"/>
      <c r="H381"/>
      <c r="I381"/>
      <c r="J381"/>
      <c r="K381"/>
      <c r="L381"/>
    </row>
    <row r="382" spans="5:13" x14ac:dyDescent="0.3">
      <c r="E382"/>
      <c r="F382"/>
      <c r="G382"/>
      <c r="H382"/>
      <c r="I382"/>
      <c r="J382"/>
      <c r="K382"/>
      <c r="L382"/>
    </row>
    <row r="383" spans="5:13" x14ac:dyDescent="0.3">
      <c r="E383"/>
      <c r="F383"/>
      <c r="G383"/>
      <c r="H383"/>
      <c r="I383"/>
      <c r="J383"/>
      <c r="K383"/>
      <c r="L383"/>
    </row>
    <row r="384" spans="5:13" x14ac:dyDescent="0.3">
      <c r="E384"/>
      <c r="F384"/>
      <c r="G384"/>
      <c r="H384"/>
      <c r="I384"/>
      <c r="J384"/>
      <c r="K384"/>
      <c r="L384"/>
    </row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spans="4:12" x14ac:dyDescent="0.3">
      <c r="E433"/>
      <c r="F433"/>
      <c r="G433"/>
      <c r="H433"/>
      <c r="I433"/>
      <c r="J433"/>
      <c r="K433"/>
      <c r="L433"/>
    </row>
    <row r="434" spans="4:12" x14ac:dyDescent="0.3">
      <c r="E434"/>
      <c r="F434"/>
      <c r="G434"/>
      <c r="H434"/>
      <c r="I434"/>
      <c r="J434"/>
      <c r="K434"/>
      <c r="L434"/>
    </row>
    <row r="435" spans="4:12" x14ac:dyDescent="0.3">
      <c r="E435"/>
      <c r="F435"/>
      <c r="G435"/>
      <c r="H435"/>
      <c r="I435"/>
      <c r="J435"/>
      <c r="K435"/>
      <c r="L435"/>
    </row>
    <row r="436" spans="4:12" x14ac:dyDescent="0.3">
      <c r="E436"/>
      <c r="F436"/>
      <c r="G436"/>
      <c r="H436"/>
      <c r="I436"/>
      <c r="J436"/>
      <c r="K436"/>
      <c r="L436"/>
    </row>
    <row r="437" spans="4:12" x14ac:dyDescent="0.3">
      <c r="E437"/>
      <c r="F437"/>
      <c r="G437"/>
      <c r="H437"/>
      <c r="I437"/>
      <c r="J437"/>
      <c r="K437"/>
      <c r="L437"/>
    </row>
    <row r="438" spans="4:12" x14ac:dyDescent="0.3">
      <c r="E438"/>
      <c r="F438"/>
      <c r="G438"/>
      <c r="H438"/>
      <c r="I438"/>
      <c r="J438"/>
      <c r="K438"/>
      <c r="L438"/>
    </row>
    <row r="439" spans="4:12" x14ac:dyDescent="0.3">
      <c r="E439"/>
      <c r="F439"/>
      <c r="G439"/>
      <c r="H439"/>
      <c r="I439"/>
      <c r="J439"/>
      <c r="K439"/>
      <c r="L439"/>
    </row>
    <row r="440" spans="4:12" x14ac:dyDescent="0.3">
      <c r="E440"/>
      <c r="F440"/>
      <c r="G440"/>
      <c r="H440"/>
      <c r="I440"/>
      <c r="J440"/>
      <c r="K440"/>
      <c r="L440"/>
    </row>
    <row r="441" spans="4:12" x14ac:dyDescent="0.3">
      <c r="D441" s="34"/>
      <c r="E441" s="115"/>
      <c r="F441" s="115"/>
      <c r="G441" s="115"/>
      <c r="H441" s="115"/>
      <c r="I441" s="115"/>
      <c r="J441" s="115"/>
      <c r="K441" s="115"/>
      <c r="L441" s="115"/>
    </row>
  </sheetData>
  <mergeCells count="1">
    <mergeCell ref="A6:L6"/>
  </mergeCells>
  <phoneticPr fontId="25" type="noConversion"/>
  <printOptions horizontalCentered="1"/>
  <pageMargins left="0" right="0" top="0.25" bottom="0.5" header="0.3" footer="0.3"/>
  <pageSetup scale="33" fitToHeight="4" orientation="landscape" r:id="rId1"/>
  <headerFooter>
    <oddFooter>&amp;C&amp;A
&amp;P of &amp;N</oddFooter>
  </headerFooter>
  <rowBreaks count="2" manualBreakCount="2">
    <brk id="73" max="16383" man="1"/>
    <brk id="175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0C77-466F-40A2-8E73-2BDAA55B7E85}">
  <dimension ref="A1:L44"/>
  <sheetViews>
    <sheetView topLeftCell="A10" workbookViewId="0">
      <selection activeCell="C25" sqref="C25"/>
    </sheetView>
  </sheetViews>
  <sheetFormatPr defaultRowHeight="14.4" x14ac:dyDescent="0.3"/>
  <cols>
    <col min="1" max="1" width="28.33203125" bestFit="1" customWidth="1"/>
    <col min="2" max="2" width="2.33203125" customWidth="1"/>
    <col min="3" max="3" width="16.33203125" bestFit="1" customWidth="1"/>
    <col min="4" max="4" width="5.44140625" customWidth="1"/>
    <col min="5" max="5" width="14.33203125" bestFit="1" customWidth="1"/>
    <col min="6" max="6" width="5.33203125" customWidth="1"/>
    <col min="7" max="7" width="14" bestFit="1" customWidth="1"/>
    <col min="11" max="11" width="14.33203125" bestFit="1" customWidth="1"/>
    <col min="12" max="12" width="12.5546875" bestFit="1" customWidth="1"/>
  </cols>
  <sheetData>
    <row r="1" spans="1:12" x14ac:dyDescent="0.3">
      <c r="A1" s="18" t="s">
        <v>220</v>
      </c>
    </row>
    <row r="2" spans="1:12" x14ac:dyDescent="0.3">
      <c r="A2" s="18"/>
      <c r="C2" s="105">
        <v>2026</v>
      </c>
      <c r="D2" s="105"/>
      <c r="E2" s="105">
        <v>2025</v>
      </c>
      <c r="F2" s="105"/>
      <c r="G2" s="105"/>
    </row>
    <row r="3" spans="1:12" x14ac:dyDescent="0.3">
      <c r="A3" s="18"/>
      <c r="C3" s="105" t="s">
        <v>592</v>
      </c>
      <c r="D3" s="105"/>
      <c r="E3" s="105" t="str">
        <f>C3</f>
        <v>August YTD</v>
      </c>
      <c r="F3" s="105"/>
      <c r="G3" s="105" t="s">
        <v>219</v>
      </c>
    </row>
    <row r="4" spans="1:12" x14ac:dyDescent="0.3">
      <c r="A4" s="18" t="s">
        <v>221</v>
      </c>
      <c r="C4" s="106">
        <f>'August 2026 - Inc. Stmt- ALL'!G21</f>
        <v>64232711.049999997</v>
      </c>
      <c r="D4" s="106"/>
      <c r="E4" s="106">
        <f>'August 2026 - Inc. Stmt- ALL'!N21</f>
        <v>48256343.009999998</v>
      </c>
      <c r="G4" s="106">
        <f>C4-E4</f>
        <v>15976368.039999999</v>
      </c>
      <c r="K4" s="101"/>
    </row>
    <row r="5" spans="1:12" x14ac:dyDescent="0.3">
      <c r="A5" s="18"/>
      <c r="C5" s="106"/>
      <c r="D5" s="106"/>
      <c r="E5" s="106"/>
      <c r="K5" s="101"/>
    </row>
    <row r="6" spans="1:12" x14ac:dyDescent="0.3">
      <c r="A6" s="18" t="s">
        <v>7</v>
      </c>
      <c r="C6" s="106">
        <f>'August 2026 - Inc. Stmt- ALL'!G35</f>
        <v>52485704.859999999</v>
      </c>
      <c r="D6" s="106"/>
      <c r="E6" s="106">
        <f>'August 2026 - Inc. Stmt- ALL'!N35</f>
        <v>41029273.350000001</v>
      </c>
      <c r="G6" s="106">
        <f>E6-C6</f>
        <v>-11456431.509999998</v>
      </c>
      <c r="K6" s="101"/>
    </row>
    <row r="7" spans="1:12" x14ac:dyDescent="0.3">
      <c r="A7" s="18"/>
      <c r="C7" s="106"/>
      <c r="D7" s="106"/>
      <c r="E7" s="106"/>
      <c r="K7" s="101"/>
    </row>
    <row r="8" spans="1:12" x14ac:dyDescent="0.3">
      <c r="A8" s="107" t="s">
        <v>123</v>
      </c>
      <c r="B8" s="108"/>
      <c r="C8" s="109">
        <f>'August 2026 - Inc. Stmt- ALL'!G40</f>
        <v>11747006.189999998</v>
      </c>
      <c r="D8" s="109"/>
      <c r="E8" s="109">
        <f>'August 2026 - Inc. Stmt- ALL'!N40</f>
        <v>7227069.6599999964</v>
      </c>
      <c r="F8" s="107"/>
      <c r="G8" s="109">
        <f>C8-E8</f>
        <v>4519936.5300000012</v>
      </c>
      <c r="K8" s="101"/>
    </row>
    <row r="9" spans="1:12" x14ac:dyDescent="0.3">
      <c r="A9" s="18" t="s">
        <v>225</v>
      </c>
      <c r="C9" s="103">
        <f>C8/C4</f>
        <v>0.18288199264788774</v>
      </c>
      <c r="E9" s="103">
        <f>E8/E4</f>
        <v>0.1497641389547972</v>
      </c>
      <c r="K9" s="103"/>
    </row>
    <row r="10" spans="1:12" x14ac:dyDescent="0.3">
      <c r="A10" s="18"/>
    </row>
    <row r="11" spans="1:12" x14ac:dyDescent="0.3">
      <c r="A11" s="18" t="s">
        <v>222</v>
      </c>
      <c r="C11" s="106">
        <f>'August 2026 - Inc. Stmt- ALL'!G98</f>
        <v>2085647.1499999997</v>
      </c>
      <c r="D11" s="106"/>
      <c r="E11" s="106">
        <f>'August 2026 - Inc. Stmt- ALL'!N98</f>
        <v>1999035.7599999998</v>
      </c>
      <c r="G11" s="106">
        <f>E11-C11</f>
        <v>-86611.389999999898</v>
      </c>
    </row>
    <row r="12" spans="1:12" x14ac:dyDescent="0.3">
      <c r="A12" s="18" t="s">
        <v>224</v>
      </c>
      <c r="C12" s="103">
        <f>C11/C4</f>
        <v>3.2470171598027231E-2</v>
      </c>
      <c r="D12" s="106"/>
      <c r="E12" s="103">
        <f>E11/E4</f>
        <v>4.1425347121429125E-2</v>
      </c>
      <c r="K12" s="103"/>
    </row>
    <row r="13" spans="1:12" x14ac:dyDescent="0.3">
      <c r="A13" s="18"/>
      <c r="C13" s="106"/>
      <c r="D13" s="106"/>
      <c r="E13" s="106"/>
    </row>
    <row r="14" spans="1:12" x14ac:dyDescent="0.3">
      <c r="A14" s="107" t="s">
        <v>223</v>
      </c>
      <c r="B14" s="108"/>
      <c r="C14" s="109">
        <f>C8-C11</f>
        <v>9661359.0399999972</v>
      </c>
      <c r="D14" s="109"/>
      <c r="E14" s="109">
        <f>E8-E11</f>
        <v>5228033.8999999966</v>
      </c>
      <c r="F14" s="107"/>
      <c r="G14" s="109">
        <f>C14-E14</f>
        <v>4433325.1400000006</v>
      </c>
      <c r="K14" s="71"/>
      <c r="L14" s="71"/>
    </row>
    <row r="15" spans="1:12" x14ac:dyDescent="0.3">
      <c r="A15" s="18" t="s">
        <v>224</v>
      </c>
      <c r="C15" s="103">
        <f>C14/C4</f>
        <v>0.15041182104986051</v>
      </c>
      <c r="E15" s="103">
        <f>E14/E4</f>
        <v>0.10833879183336809</v>
      </c>
    </row>
    <row r="16" spans="1:12" x14ac:dyDescent="0.3">
      <c r="A16" s="18"/>
      <c r="K16" s="71"/>
    </row>
    <row r="20" spans="1:7" x14ac:dyDescent="0.3">
      <c r="A20" s="18" t="s">
        <v>299</v>
      </c>
      <c r="B20" s="18"/>
      <c r="C20" s="105" t="s">
        <v>298</v>
      </c>
      <c r="D20" s="105"/>
      <c r="E20" s="105" t="s">
        <v>300</v>
      </c>
      <c r="G20" s="105" t="s">
        <v>219</v>
      </c>
    </row>
    <row r="22" spans="1:7" x14ac:dyDescent="0.3">
      <c r="A22" s="18" t="s">
        <v>233</v>
      </c>
      <c r="C22" s="102">
        <v>94000000</v>
      </c>
      <c r="D22" s="101"/>
      <c r="E22" s="102">
        <v>78301875.200000003</v>
      </c>
      <c r="G22" s="102">
        <f>C22-E22</f>
        <v>15698124.799999997</v>
      </c>
    </row>
    <row r="23" spans="1:7" x14ac:dyDescent="0.3">
      <c r="C23" s="101"/>
      <c r="D23" s="101"/>
      <c r="E23" s="101"/>
      <c r="G23" s="102"/>
    </row>
    <row r="24" spans="1:7" x14ac:dyDescent="0.3">
      <c r="A24" s="18" t="s">
        <v>7</v>
      </c>
      <c r="C24" s="102">
        <f>C22*0.831</f>
        <v>78114000</v>
      </c>
      <c r="D24" s="101"/>
      <c r="E24" s="102">
        <v>65455965.590000004</v>
      </c>
      <c r="G24" s="102">
        <f>E24-C24</f>
        <v>-12658034.409999996</v>
      </c>
    </row>
    <row r="25" spans="1:7" x14ac:dyDescent="0.3">
      <c r="C25" s="101"/>
      <c r="D25" s="101"/>
      <c r="E25" s="101"/>
    </row>
    <row r="26" spans="1:7" x14ac:dyDescent="0.3">
      <c r="A26" s="107" t="s">
        <v>123</v>
      </c>
      <c r="B26" s="108"/>
      <c r="C26" s="109">
        <f>C22-C24</f>
        <v>15886000</v>
      </c>
      <c r="D26" s="109"/>
      <c r="E26" s="109">
        <f>E22-E24</f>
        <v>12845909.609999999</v>
      </c>
      <c r="F26" s="107"/>
      <c r="G26" s="109">
        <f>C26-E26</f>
        <v>3040090.3900000006</v>
      </c>
    </row>
    <row r="27" spans="1:7" x14ac:dyDescent="0.3">
      <c r="A27" s="18" t="s">
        <v>225</v>
      </c>
      <c r="C27" s="103">
        <f>C26/C22</f>
        <v>0.16900000000000001</v>
      </c>
      <c r="E27" s="103">
        <f>E26/E22</f>
        <v>0.16405621930750389</v>
      </c>
    </row>
    <row r="28" spans="1:7" x14ac:dyDescent="0.3">
      <c r="C28" s="101"/>
      <c r="D28" s="101"/>
      <c r="E28" s="101"/>
    </row>
    <row r="29" spans="1:7" x14ac:dyDescent="0.3">
      <c r="A29" s="18" t="s">
        <v>222</v>
      </c>
      <c r="C29" s="106">
        <f>'August 2026 - Inc. Stmt- ALL'!K98</f>
        <v>3279206.5675749965</v>
      </c>
      <c r="D29" s="106"/>
      <c r="E29" s="106">
        <f>8132296.75-4968706.88</f>
        <v>3163589.87</v>
      </c>
      <c r="G29" s="106">
        <f>E29-C29</f>
        <v>-115616.69757499639</v>
      </c>
    </row>
    <row r="30" spans="1:7" x14ac:dyDescent="0.3">
      <c r="A30" s="18" t="s">
        <v>224</v>
      </c>
      <c r="C30" s="103">
        <f>C29/C22</f>
        <v>3.4885176250797838E-2</v>
      </c>
      <c r="D30" s="106"/>
      <c r="E30" s="103">
        <f>E29/E22</f>
        <v>4.0402479020068216E-2</v>
      </c>
    </row>
    <row r="31" spans="1:7" x14ac:dyDescent="0.3">
      <c r="A31" s="18"/>
      <c r="C31" s="106"/>
      <c r="D31" s="106"/>
      <c r="E31" s="106"/>
    </row>
    <row r="32" spans="1:7" x14ac:dyDescent="0.3">
      <c r="A32" s="107" t="s">
        <v>223</v>
      </c>
      <c r="B32" s="108"/>
      <c r="C32" s="109">
        <f>C26-C29</f>
        <v>12606793.432425003</v>
      </c>
      <c r="D32" s="109"/>
      <c r="E32" s="109">
        <f>E26-E29</f>
        <v>9682319.7399999984</v>
      </c>
      <c r="F32" s="107"/>
      <c r="G32" s="109">
        <f>C32-E32</f>
        <v>2924473.6924250051</v>
      </c>
    </row>
    <row r="33" spans="1:7" x14ac:dyDescent="0.3">
      <c r="A33" s="18" t="s">
        <v>224</v>
      </c>
      <c r="C33" s="103">
        <f>C32/C22</f>
        <v>0.13411482374920217</v>
      </c>
      <c r="E33" s="103">
        <f>E32/E22</f>
        <v>0.12365374028743564</v>
      </c>
    </row>
    <row r="34" spans="1:7" x14ac:dyDescent="0.3">
      <c r="C34" s="101"/>
      <c r="D34" s="101"/>
      <c r="E34" s="101"/>
    </row>
    <row r="35" spans="1:7" x14ac:dyDescent="0.3">
      <c r="A35" s="18" t="s">
        <v>234</v>
      </c>
      <c r="C35" s="102">
        <f>E35/E26*C26</f>
        <v>6144592.3170932233</v>
      </c>
      <c r="D35" s="101"/>
      <c r="E35" s="102">
        <v>4968706.88</v>
      </c>
      <c r="G35" s="113">
        <f>E35-C35</f>
        <v>-1175885.4370932234</v>
      </c>
    </row>
    <row r="36" spans="1:7" x14ac:dyDescent="0.3">
      <c r="C36" s="101"/>
      <c r="D36" s="101"/>
      <c r="E36" s="101"/>
    </row>
    <row r="37" spans="1:7" x14ac:dyDescent="0.3">
      <c r="A37" s="107" t="s">
        <v>235</v>
      </c>
      <c r="B37" s="108"/>
      <c r="C37" s="109">
        <f>C32-C35</f>
        <v>6462201.1153317802</v>
      </c>
      <c r="D37" s="109"/>
      <c r="E37" s="109">
        <f>E32-E35</f>
        <v>4713612.8599999985</v>
      </c>
      <c r="F37" s="107"/>
      <c r="G37" s="109">
        <f>C37-E37</f>
        <v>1748588.2553317817</v>
      </c>
    </row>
    <row r="38" spans="1:7" x14ac:dyDescent="0.3">
      <c r="A38" s="18" t="s">
        <v>224</v>
      </c>
      <c r="C38" s="103">
        <f>C37/C22</f>
        <v>6.8746820375870002E-2</v>
      </c>
      <c r="D38" s="101"/>
      <c r="E38" s="103">
        <f>E37/E22</f>
        <v>6.0197956280873315E-2</v>
      </c>
    </row>
    <row r="39" spans="1:7" x14ac:dyDescent="0.3">
      <c r="C39" s="101"/>
      <c r="D39" s="101"/>
      <c r="E39" s="101"/>
    </row>
    <row r="40" spans="1:7" x14ac:dyDescent="0.3">
      <c r="C40" s="101"/>
      <c r="D40" s="101"/>
      <c r="E40" s="101"/>
    </row>
    <row r="41" spans="1:7" x14ac:dyDescent="0.3">
      <c r="C41" s="101"/>
      <c r="D41" s="101"/>
      <c r="E41" s="101"/>
    </row>
    <row r="42" spans="1:7" x14ac:dyDescent="0.3">
      <c r="C42" s="101"/>
      <c r="D42" s="101"/>
      <c r="E42" s="101"/>
    </row>
    <row r="43" spans="1:7" x14ac:dyDescent="0.3">
      <c r="C43" s="101"/>
      <c r="D43" s="101"/>
      <c r="E43" s="101"/>
    </row>
    <row r="44" spans="1:7" x14ac:dyDescent="0.3">
      <c r="C44" s="101"/>
      <c r="D44" s="101"/>
      <c r="E44" s="10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2148-C88E-4F26-9AAA-9561CCA3E3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d4452e-73b8-4888-b7a1-f3c9b9bef31a">
      <Terms xmlns="http://schemas.microsoft.com/office/infopath/2007/PartnerControls"/>
    </lcf76f155ced4ddcb4097134ff3c332f>
    <TaxCatchAll xmlns="83212915-74e0-40b6-85eb-414317f9609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CEAE1B1FF63244AC37ABBF95997EFD" ma:contentTypeVersion="13" ma:contentTypeDescription="Create a new document." ma:contentTypeScope="" ma:versionID="c0ae679904fc420ee28ff6fda29da27b">
  <xsd:schema xmlns:xsd="http://www.w3.org/2001/XMLSchema" xmlns:xs="http://www.w3.org/2001/XMLSchema" xmlns:p="http://schemas.microsoft.com/office/2006/metadata/properties" xmlns:ns2="c1d4452e-73b8-4888-b7a1-f3c9b9bef31a" xmlns:ns3="83212915-74e0-40b6-85eb-414317f96091" targetNamespace="http://schemas.microsoft.com/office/2006/metadata/properties" ma:root="true" ma:fieldsID="807e5266d1f6666f8146eb656c2c36f5" ns2:_="" ns3:_="">
    <xsd:import namespace="c1d4452e-73b8-4888-b7a1-f3c9b9bef31a"/>
    <xsd:import namespace="83212915-74e0-40b6-85eb-414317f960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4452e-73b8-4888-b7a1-f3c9b9bef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7c405a-2efb-4449-9d9a-5c305239d7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12915-74e0-40b6-85eb-414317f9609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64783e-19cb-4335-a1e2-15410ea910fb}" ma:internalName="TaxCatchAll" ma:showField="CatchAllData" ma:web="83212915-74e0-40b6-85eb-414317f960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ABEF10-57E9-4D79-B505-53C5160C1A6A}">
  <ds:schemaRefs>
    <ds:schemaRef ds:uri="83212915-74e0-40b6-85eb-414317f96091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c1d4452e-73b8-4888-b7a1-f3c9b9bef31a"/>
  </ds:schemaRefs>
</ds:datastoreItem>
</file>

<file path=customXml/itemProps2.xml><?xml version="1.0" encoding="utf-8"?>
<ds:datastoreItem xmlns:ds="http://schemas.openxmlformats.org/officeDocument/2006/customXml" ds:itemID="{277306EA-A9F2-44DC-8A9D-70D584CE45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7541FE-0CE8-4F29-901A-7E36798BE2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d4452e-73b8-4888-b7a1-f3c9b9bef31a"/>
    <ds:schemaRef ds:uri="83212915-74e0-40b6-85eb-414317f960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FS Balance Sheet 2026</vt:lpstr>
      <vt:lpstr>FS Stmt of Inc &amp; RE- 2026</vt:lpstr>
      <vt:lpstr>August 2026 - Balance Sheet</vt:lpstr>
      <vt:lpstr>August 2026 - Inc. Stmt- ALL</vt:lpstr>
      <vt:lpstr>August 2026 - Over Under Report</vt:lpstr>
      <vt:lpstr>August 2026 -AR Aging</vt:lpstr>
      <vt:lpstr>Sheet1</vt:lpstr>
      <vt:lpstr>Sheet2</vt:lpstr>
      <vt:lpstr>'August 2026 - Inc. Stmt- ALL'!Print_Area</vt:lpstr>
      <vt:lpstr>'August 2026 - Over Under Report'!Print_Area</vt:lpstr>
      <vt:lpstr>'FS Balance Sheet 2026'!Print_Area</vt:lpstr>
      <vt:lpstr>'August 2026 - Inc. Stmt- ALL'!Print_Titles</vt:lpstr>
      <vt:lpstr>'August 2026 -AR Aging'!Print_Titles</vt:lpstr>
      <vt:lpstr>'FS Stmt of Inc &amp; RE- 2026'!Print_Titles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PJH</dc:creator>
  <cp:lastModifiedBy>Narayana Vejendla</cp:lastModifiedBy>
  <cp:lastPrinted>2026-03-20T12:08:47Z</cp:lastPrinted>
  <dcterms:created xsi:type="dcterms:W3CDTF">2011-05-23T16:53:46Z</dcterms:created>
  <dcterms:modified xsi:type="dcterms:W3CDTF">2026-09-19T19:03:19Z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0x010100FBCEAE1B1FF63244AC37ABBF95997EFD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